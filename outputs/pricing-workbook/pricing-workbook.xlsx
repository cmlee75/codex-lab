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bdb4b5f92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cost" sheetId="1" r:id="Rf29573ebb7ba453d"/>
    <x:sheet xmlns:r="http://schemas.openxmlformats.org/officeDocument/2006/relationships" name="Fixed costs" sheetId="2" r:id="R1832459bd81549fb"/>
    <x:sheet xmlns:r="http://schemas.openxmlformats.org/officeDocument/2006/relationships" name="Break-even" sheetId="3" r:id="Rafb7b9024c0247bf"/>
    <x:sheet xmlns:r="http://schemas.openxmlformats.org/officeDocument/2006/relationships" name="Fee check" sheetId="4" r:id="R5a92927098154625"/>
    <x:sheet xmlns:r="http://schemas.openxmlformats.org/officeDocument/2006/relationships" name="Notes" sheetId="5" r:id="Re17ef880b852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S$&quot;#,##0.00;(&quot;S$&quot;#,##0.00);-"/>
    <x:numFmt numFmtId="201" formatCode="0.0%"/>
    <x:numFmt numFmtId="202" formatCode="#,##0"/>
  </x:numFmts>
  <x:fonts count="5">
    <x:font>
      <x:sz val="11"/>
      <x:name val="Carlito"/>
    </x:font>
    <x:font>
      <x:sz val="10"/>
      <x:color rgb="FF24323A"/>
      <x:name val="Arial"/>
    </x:font>
    <x:font>
      <x:b/>
      <x:sz val="15"/>
      <x:color rgb="FF274C5A"/>
      <x:name val="Arial"/>
    </x:font>
    <x:font>
      <x:i/>
      <x:sz val="10"/>
      <x:color rgb="FF63727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4C5A"/>
      </x:patternFill>
    </x:fill>
    <x:fill>
      <x:patternFill patternType="solid">
        <x:fgColor rgb="FFF4EDE2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wrapText="0"/>
    </x:xf>
    <x:xf numFmtId="201" fontId="1" fillId="0" borderId="0" xfId="0" applyNumberFormat="1" applyFont="1" applyFill="1" applyBorder="1" applyAlignment="1">
      <x:alignment wrapText="0"/>
    </x:xf>
    <x:xf numFmtId="0" fontId="1" fillId="3" borderId="0" xfId="0" applyNumberFormat="1" applyFont="1" applyFill="1" applyBorder="1" applyAlignment="1">
      <x:alignment wrapText="0"/>
    </x:xf>
    <x:xf numFmtId="202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CE4E4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242d3d04347f6" /><Relationship Type="http://schemas.openxmlformats.org/officeDocument/2006/relationships/theme" Target="/xl/theme/theme1.xml" Id="R3196577df2954535" /><Relationship Type="http://schemas.openxmlformats.org/officeDocument/2006/relationships/sharedStrings" Target="/xl/sharedStrings.xml" Id="R3451c4c5d652400b" /><Relationship Type="http://schemas.openxmlformats.org/officeDocument/2006/relationships/worksheet" Target="/xl/worksheets/sheet1.xml" Id="Rf29573ebb7ba453d" /><Relationship Type="http://schemas.openxmlformats.org/officeDocument/2006/relationships/worksheet" Target="/xl/worksheets/sheet2.xml" Id="R1832459bd81549fb" /><Relationship Type="http://schemas.openxmlformats.org/officeDocument/2006/relationships/worksheet" Target="/xl/worksheets/sheet3.xml" Id="Rafb7b9024c0247bf" /><Relationship Type="http://schemas.openxmlformats.org/officeDocument/2006/relationships/worksheet" Target="/xl/worksheets/sheet4.xml" Id="R5a92927098154625" /><Relationship Type="http://schemas.openxmlformats.org/officeDocument/2006/relationships/worksheet" Target="/xl/worksheets/sheet5.xml" Id="Re17ef880b852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13" hidden="0" customWidth="1"/>
    <x:col min="4" max="4" width="13" hidden="0" customWidth="1"/>
    <x:col min="5" max="5" width="13" hidden="0" customWidth="1"/>
    <x:col min="6" max="6" width="21" hidden="0" customWidth="1"/>
    <x:col min="7" max="7" width="21" hidden="0" customWidth="1"/>
    <x:col min="8" max="8" width="24" hidden="0" customWidth="1"/>
    <x:col min="9" max="9" width="17" hidden="0" customWidth="1"/>
    <x:col min="10" max="10" width="17" hidden="0" customWidth="1"/>
    <x:col min="11" max="11" width="19" hidden="0" customWidth="1"/>
    <x:col min="12" max="12" width="19" hidden="0" customWidth="1"/>
    <x:col min="13" max="13" width="19" hidden="0" customWidth="1"/>
    <x:col min="14" max="14" width="13" hidden="0" customWidth="1"/>
    <x:col min="15" max="15" width="13" hidden="0" customWidth="1"/>
    <x:col min="16" max="16" width="13" hidden="0" customWidth="1"/>
    <x:col min="17" max="17" width="42" hidden="0" customWidth="1"/>
  </x:cols>
  <x:sheetData>
    <x:row r="1">
      <x:c r="A1" s="15" t="str">
        <x:v>Unit cost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7" t="str">
        <x:v>Direct cost per seat at 8, 10 and 12 learners. Planning class size is 10.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8" t="str">
        <x:v>Code</x:v>
      </x:c>
      <x:c r="B4" s="18" t="str">
        <x:v>Course</x:v>
      </x:c>
      <x:c r="C4" s="18" t="str">
        <x:v>Category</x:v>
      </x:c>
      <x:c r="D4" s="18" t="str">
        <x:v>Current fee</x:v>
      </x:c>
      <x:c r="E4" s="18" t="str">
        <x:v>Sessions</x:v>
      </x:c>
      <x:c r="F4" s="18" t="str">
        <x:v>Ingredients / learner / session</x:v>
      </x:c>
      <x:c r="G4" s="18" t="str">
        <x:v>Consumables / learner</x:v>
      </x:c>
      <x:c r="H4" s="18" t="str">
        <x:v>Chef</x:v>
      </x:c>
      <x:c r="I4" s="18" t="str">
        <x:v>Chef rate / session</x:v>
      </x:c>
      <x:c r="J4" s="18" t="str">
        <x:v>Assistant / session</x:v>
      </x:c>
      <x:c r="K4" s="18" t="str">
        <x:v>Direct cost / seat @ 8</x:v>
      </x:c>
      <x:c r="L4" s="18" t="str">
        <x:v>Direct cost / seat @ 10</x:v>
      </x:c>
      <x:c r="M4" s="18" t="str">
        <x:v>Direct cost / seat @ 12</x:v>
      </x:c>
      <x:c r="N4" s="18" t="str">
        <x:v>Margin @ 10</x:v>
      </x:c>
      <x:c r="O4" s="18" t="str">
        <x:v>Target fee</x:v>
      </x:c>
      <x:c r="P4" s="18" t="str">
        <x:v>Fee status</x:v>
      </x:c>
      <x:c r="Q4" s="18" t="str">
        <x:v>Source</x:v>
      </x:c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9" t="str">
        <x:v>BAK-101</x:v>
      </x:c>
      <x:c r="B5" s="19" t="str">
        <x:v>Artisan Sourdough Bread Baking</x:v>
      </x:c>
      <x:c r="C5" s="19" t="str">
        <x:v>Bakery</x:v>
      </x:c>
      <x:c r="D5" s="20" t="n">
        <x:v>680</x:v>
      </x:c>
      <x:c r="E5" s="19" t="n">
        <x:v>4</x:v>
      </x:c>
      <x:c r="F5" s="20" t="n">
        <x:v>12.6</x:v>
      </x:c>
      <x:c r="G5" s="20" t="n">
        <x:v>4.48</x:v>
      </x:c>
      <x:c r="H5" s="20" t="str">
        <x:v>Chef Daniel Koh</x:v>
      </x:c>
      <x:c r="I5" s="20" t="n">
        <x:v>220</x:v>
      </x:c>
      <x:c r="J5" s="20" t="n">
        <x:v>60</x:v>
      </x:c>
      <x:c r="K5" s="20" t="n">
        <x:f>IF(OR(E5="UNKNOWN",F5="UNKNOWN",G5="UNKNOWN",I5="UNKNOWN",J5="UNKNOWN"),"UNKNOWN",F5*E5+G5+(I5+J5)*E5/8)</x:f>
        <x:v>194.88</x:v>
      </x:c>
      <x:c r="L5" s="20" t="n">
        <x:f>IF(OR(E5="UNKNOWN",F5="UNKNOWN",G5="UNKNOWN",I5="UNKNOWN",J5="UNKNOWN"),"UNKNOWN",F5*E5+G5+(I5+J5)*E5/10)</x:f>
        <x:v>166.88</x:v>
      </x:c>
      <x:c r="M5" s="20" t="n">
        <x:f>IF(OR(E5="UNKNOWN",F5="UNKNOWN",G5="UNKNOWN",I5="UNKNOWN",J5="UNKNOWN"),"UNKNOWN",F5*E5+G5+(I5+J5)*E5/12)</x:f>
        <x:v>148.2133333333333</x:v>
      </x:c>
      <x:c r="N5" s="21" t="n">
        <x:f>IF(OR(D5="UNKNOWN",L5="UNKNOWN"),"UNKNOWN",(D5-L5)/D5)</x:f>
        <x:v>0.7545882352941177</x:v>
      </x:c>
      <x:c r="O5" s="20" t="n">
        <x:f>IF(L5="UNKNOWN","UNKNOWN",L5/(1-45%))</x:f>
        <x:v>303.4181818181818</x:v>
      </x:c>
      <x:c r="P5" s="19" t="str">
        <x:f>IF(OR(D5="UNKNOWN",O5="UNKNOWN"),"UNKNOWN",IF(D5&lt;O5,"UNDERPRICED","OK"))</x:f>
        <x:v>OK</x:v>
      </x:c>
      <x:c r="Q5" s="19" t="str">
        <x:v>Drive: recipe-costs.csv; courses.json; instructors.csv; fixed-costs.csv</x:v>
      </x:c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9" t="str">
        <x:v>BAK-102</x:v>
      </x:c>
      <x:c r="B6" s="19" t="str">
        <x:v>French Pastry &amp; Viennoiserie</x:v>
      </x:c>
      <x:c r="C6" s="19" t="str">
        <x:v>Bakery</x:v>
      </x:c>
      <x:c r="D6" s="20" t="n">
        <x:v>1480</x:v>
      </x:c>
      <x:c r="E6" s="19" t="n">
        <x:v>8</x:v>
      </x:c>
      <x:c r="F6" s="20" t="n">
        <x:v>11.01</x:v>
      </x:c>
      <x:c r="G6" s="20" t="n">
        <x:v>5.77</x:v>
      </x:c>
      <x:c r="H6" s="20" t="str">
        <x:v>Chef Aurelie Martin</x:v>
      </x:c>
      <x:c r="I6" s="20" t="n">
        <x:v>220</x:v>
      </x:c>
      <x:c r="J6" s="20" t="n">
        <x:v>60</x:v>
      </x:c>
      <x:c r="K6" s="20" t="n">
        <x:f>IF(OR(E6="UNKNOWN",F6="UNKNOWN",G6="UNKNOWN",I6="UNKNOWN",J6="UNKNOWN"),"UNKNOWN",F6*E6+G6+(I6+J6)*E6/8)</x:f>
        <x:v>373.85</x:v>
      </x:c>
      <x:c r="L6" s="20" t="n">
        <x:f>IF(OR(E6="UNKNOWN",F6="UNKNOWN",G6="UNKNOWN",I6="UNKNOWN",J6="UNKNOWN"),"UNKNOWN",F6*E6+G6+(I6+J6)*E6/10)</x:f>
        <x:v>317.85</x:v>
      </x:c>
      <x:c r="M6" s="20" t="n">
        <x:f>IF(OR(E6="UNKNOWN",F6="UNKNOWN",G6="UNKNOWN",I6="UNKNOWN",J6="UNKNOWN"),"UNKNOWN",F6*E6+G6+(I6+J6)*E6/12)</x:f>
        <x:v>280.51666666666665</x:v>
      </x:c>
      <x:c r="N6" s="21" t="n">
        <x:f>IF(OR(D6="UNKNOWN",L6="UNKNOWN"),"UNKNOWN",(D6-L6)/D6)</x:f>
        <x:v>0.7852364864864866</x:v>
      </x:c>
      <x:c r="O6" s="20" t="n">
        <x:f>IF(L6="UNKNOWN","UNKNOWN",L6/(1-45%))</x:f>
        <x:v>577.9090909090909</x:v>
      </x:c>
      <x:c r="P6" s="19" t="str">
        <x:f>IF(OR(D6="UNKNOWN",O6="UNKNOWN"),"UNKNOWN",IF(D6&lt;O6,"UNDERPRICED","OK"))</x:f>
        <x:v>OK</x:v>
      </x:c>
      <x:c r="Q6" s="19" t="str">
        <x:v>Drive: recipe-costs.csv; courses.json; instructors.csv; fixed-costs.csv</x:v>
      </x:c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9" t="str">
        <x:v>BAK-103</x:v>
      </x:c>
      <x:c r="B7" s="19" t="str">
        <x:v>Wedding Cake Design &amp; Decoration</x:v>
      </x:c>
      <x:c r="C7" s="19" t="str">
        <x:v>Bakery</x:v>
      </x:c>
      <x:c r="D7" s="20" t="n">
        <x:v>1280</x:v>
      </x:c>
      <x:c r="E7" s="19" t="n">
        <x:v>6</x:v>
      </x:c>
      <x:c r="F7" s="20" t="n">
        <x:v>14.86</x:v>
      </x:c>
      <x:c r="G7" s="20" t="n">
        <x:v>3.56</x:v>
      </x:c>
      <x:c r="H7" s="20" t="str">
        <x:v>Chef Aurelie Martin</x:v>
      </x:c>
      <x:c r="I7" s="20" t="n">
        <x:v>220</x:v>
      </x:c>
      <x:c r="J7" s="20" t="n">
        <x:v>60</x:v>
      </x:c>
      <x:c r="K7" s="20" t="n">
        <x:f>IF(OR(E7="UNKNOWN",F7="UNKNOWN",G7="UNKNOWN",I7="UNKNOWN",J7="UNKNOWN"),"UNKNOWN",F7*E7+G7+(I7+J7)*E7/8)</x:f>
        <x:v>302.72</x:v>
      </x:c>
      <x:c r="L7" s="20" t="n">
        <x:f>IF(OR(E7="UNKNOWN",F7="UNKNOWN",G7="UNKNOWN",I7="UNKNOWN",J7="UNKNOWN"),"UNKNOWN",F7*E7+G7+(I7+J7)*E7/10)</x:f>
        <x:v>260.72</x:v>
      </x:c>
      <x:c r="M7" s="20" t="n">
        <x:f>IF(OR(E7="UNKNOWN",F7="UNKNOWN",G7="UNKNOWN",I7="UNKNOWN",J7="UNKNOWN"),"UNKNOWN",F7*E7+G7+(I7+J7)*E7/12)</x:f>
        <x:v>232.72</x:v>
      </x:c>
      <x:c r="N7" s="21" t="n">
        <x:f>IF(OR(D7="UNKNOWN",L7="UNKNOWN"),"UNKNOWN",(D7-L7)/D7)</x:f>
        <x:v>0.7963125</x:v>
      </x:c>
      <x:c r="O7" s="20" t="n">
        <x:f>IF(L7="UNKNOWN","UNKNOWN",L7/(1-45%))</x:f>
        <x:v>474.03636363636366</x:v>
      </x:c>
      <x:c r="P7" s="19" t="str">
        <x:f>IF(OR(D7="UNKNOWN",O7="UNKNOWN"),"UNKNOWN",IF(D7&lt;O7,"UNDERPRICED","OK"))</x:f>
        <x:v>OK</x:v>
      </x:c>
      <x:c r="Q7" s="19" t="str">
        <x:v>Drive: recipe-costs.csv; courses.json; instructors.csv; fixed-costs.csv</x:v>
      </x:c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9" t="str">
        <x:v>BAK-104</x:v>
      </x:c>
      <x:c r="B8" s="19" t="str">
        <x:v>Macaron Masterclass</x:v>
      </x:c>
      <x:c r="C8" s="19" t="str">
        <x:v>Bakery</x:v>
      </x:c>
      <x:c r="D8" s="20" t="n">
        <x:v>420</x:v>
      </x:c>
      <x:c r="E8" s="19" t="n">
        <x:v>2</x:v>
      </x:c>
      <x:c r="F8" s="20" t="n">
        <x:v>12.73</x:v>
      </x:c>
      <x:c r="G8" s="20" t="n">
        <x:v>4.42</x:v>
      </x:c>
      <x:c r="H8" s="20" t="str">
        <x:v>Chef Mei Ling Tan</x:v>
      </x:c>
      <x:c r="I8" s="20" t="n">
        <x:v>220</x:v>
      </x:c>
      <x:c r="J8" s="20" t="n">
        <x:v>60</x:v>
      </x:c>
      <x:c r="K8" s="20" t="n">
        <x:f>IF(OR(E8="UNKNOWN",F8="UNKNOWN",G8="UNKNOWN",I8="UNKNOWN",J8="UNKNOWN"),"UNKNOWN",F8*E8+G8+(I8+J8)*E8/8)</x:f>
        <x:v>99.88</x:v>
      </x:c>
      <x:c r="L8" s="20" t="n">
        <x:f>IF(OR(E8="UNKNOWN",F8="UNKNOWN",G8="UNKNOWN",I8="UNKNOWN",J8="UNKNOWN"),"UNKNOWN",F8*E8+G8+(I8+J8)*E8/10)</x:f>
        <x:v>85.88</x:v>
      </x:c>
      <x:c r="M8" s="20" t="n">
        <x:f>IF(OR(E8="UNKNOWN",F8="UNKNOWN",G8="UNKNOWN",I8="UNKNOWN",J8="UNKNOWN"),"UNKNOWN",F8*E8+G8+(I8+J8)*E8/12)</x:f>
        <x:v>76.54666666666667</x:v>
      </x:c>
      <x:c r="N8" s="21" t="n">
        <x:f>IF(OR(D8="UNKNOWN",L8="UNKNOWN"),"UNKNOWN",(D8-L8)/D8)</x:f>
        <x:v>0.7955238095238095</x:v>
      </x:c>
      <x:c r="O8" s="20" t="n">
        <x:f>IF(L8="UNKNOWN","UNKNOWN",L8/(1-45%))</x:f>
        <x:v>156.14545454545453</x:v>
      </x:c>
      <x:c r="P8" s="19" t="str">
        <x:f>IF(OR(D8="UNKNOWN",O8="UNKNOWN"),"UNKNOWN",IF(D8&lt;O8,"UNDERPRICED","OK"))</x:f>
        <x:v>OK</x:v>
      </x:c>
      <x:c r="Q8" s="19" t="str">
        <x:v>Drive: recipe-costs.csv; courses.json; instructors.csv; fixed-costs.csv</x:v>
      </x:c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9" t="str">
        <x:v>BAK-105</x:v>
      </x:c>
      <x:c r="B9" s="19" t="str">
        <x:v>Chocolate &amp; Confectionery Making</x:v>
      </x:c>
      <x:c r="C9" s="19" t="str">
        <x:v>Bakery</x:v>
      </x:c>
      <x:c r="D9" s="20" t="n">
        <x:v>760</x:v>
      </x:c>
      <x:c r="E9" s="19" t="n">
        <x:v>4</x:v>
      </x:c>
      <x:c r="F9" s="20" t="n">
        <x:v>32.78</x:v>
      </x:c>
      <x:c r="G9" s="20" t="n">
        <x:v>6.2</x:v>
      </x:c>
      <x:c r="H9" s="20" t="str">
        <x:v>Chef Mei Ling Tan</x:v>
      </x:c>
      <x:c r="I9" s="20" t="n">
        <x:v>220</x:v>
      </x:c>
      <x:c r="J9" s="20" t="n">
        <x:v>60</x:v>
      </x:c>
      <x:c r="K9" s="20" t="n">
        <x:f>IF(OR(E9="UNKNOWN",F9="UNKNOWN",G9="UNKNOWN",I9="UNKNOWN",J9="UNKNOWN"),"UNKNOWN",F9*E9+G9+(I9+J9)*E9/8)</x:f>
        <x:v>277.32</x:v>
      </x:c>
      <x:c r="L9" s="20" t="n">
        <x:f>IF(OR(E9="UNKNOWN",F9="UNKNOWN",G9="UNKNOWN",I9="UNKNOWN",J9="UNKNOWN"),"UNKNOWN",F9*E9+G9+(I9+J9)*E9/10)</x:f>
        <x:v>249.32</x:v>
      </x:c>
      <x:c r="M9" s="20" t="n">
        <x:f>IF(OR(E9="UNKNOWN",F9="UNKNOWN",G9="UNKNOWN",I9="UNKNOWN",J9="UNKNOWN"),"UNKNOWN",F9*E9+G9+(I9+J9)*E9/12)</x:f>
        <x:v>230.6533333333333</x:v>
      </x:c>
      <x:c r="N9" s="21" t="n">
        <x:f>IF(OR(D9="UNKNOWN",L9="UNKNOWN"),"UNKNOWN",(D9-L9)/D9)</x:f>
        <x:v>0.6719473684210526</x:v>
      </x:c>
      <x:c r="O9" s="20" t="n">
        <x:f>IF(L9="UNKNOWN","UNKNOWN",L9/(1-45%))</x:f>
        <x:v>453.30909090909086</x:v>
      </x:c>
      <x:c r="P9" s="19" t="str">
        <x:f>IF(OR(D9="UNKNOWN",O9="UNKNOWN"),"UNKNOWN",IF(D9&lt;O9,"UNDERPRICED","OK"))</x:f>
        <x:v>OK</x:v>
      </x:c>
      <x:c r="Q9" s="19" t="str">
        <x:v>Drive: recipe-costs.csv; courses.json; instructors.csv; fixed-costs.csv</x:v>
      </x:c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9" t="str">
        <x:v>BAK-106</x:v>
      </x:c>
      <x:c r="B10" s="19" t="str">
        <x:v>Cupcake &amp; Cake Pops Workshop</x:v>
      </x:c>
      <x:c r="C10" s="19" t="str">
        <x:v>Bakery</x:v>
      </x:c>
      <x:c r="D10" s="20" t="n">
        <x:v>220</x:v>
      </x:c>
      <x:c r="E10" s="19" t="n">
        <x:v>1</x:v>
      </x:c>
      <x:c r="F10" s="20" t="n">
        <x:v>16.63</x:v>
      </x:c>
      <x:c r="G10" s="20" t="n">
        <x:v>7.28</x:v>
      </x:c>
      <x:c r="H10" s="20" t="str">
        <x:v>Chef Mei Ling Tan</x:v>
      </x:c>
      <x:c r="I10" s="20" t="n">
        <x:v>220</x:v>
      </x:c>
      <x:c r="J10" s="20" t="n">
        <x:v>60</x:v>
      </x:c>
      <x:c r="K10" s="20" t="n">
        <x:f>IF(OR(E10="UNKNOWN",F10="UNKNOWN",G10="UNKNOWN",I10="UNKNOWN",J10="UNKNOWN"),"UNKNOWN",F10*E10+G10+(I10+J10)*E10/8)</x:f>
        <x:v>58.91</x:v>
      </x:c>
      <x:c r="L10" s="20" t="n">
        <x:f>IF(OR(E10="UNKNOWN",F10="UNKNOWN",G10="UNKNOWN",I10="UNKNOWN",J10="UNKNOWN"),"UNKNOWN",F10*E10+G10+(I10+J10)*E10/10)</x:f>
        <x:v>51.91</x:v>
      </x:c>
      <x:c r="M10" s="20" t="n">
        <x:f>IF(OR(E10="UNKNOWN",F10="UNKNOWN",G10="UNKNOWN",I10="UNKNOWN",J10="UNKNOWN"),"UNKNOWN",F10*E10+G10+(I10+J10)*E10/12)</x:f>
        <x:v>47.24333333333333</x:v>
      </x:c>
      <x:c r="N10" s="21" t="n">
        <x:f>IF(OR(D10="UNKNOWN",L10="UNKNOWN"),"UNKNOWN",(D10-L10)/D10)</x:f>
        <x:v>0.7640454545454546</x:v>
      </x:c>
      <x:c r="O10" s="20" t="n">
        <x:f>IF(L10="UNKNOWN","UNKNOWN",L10/(1-45%))</x:f>
        <x:v>94.38181818181816</x:v>
      </x:c>
      <x:c r="P10" s="19" t="str">
        <x:f>IF(OR(D10="UNKNOWN",O10="UNKNOWN"),"UNKNOWN",IF(D10&lt;O10,"UNDERPRICED","OK"))</x:f>
        <x:v>OK</x:v>
      </x:c>
      <x:c r="Q10" s="19" t="str">
        <x:v>Drive: recipe-costs.csv; courses.json; instructors.csv; fixed-costs.csv</x:v>
      </x:c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9" t="str">
        <x:v>BAK-107</x:v>
      </x:c>
      <x:c r="B11" s="19" t="str">
        <x:v>Bread Making Fundamentals</x:v>
      </x:c>
      <x:c r="C11" s="19" t="str">
        <x:v>Bakery</x:v>
      </x:c>
      <x:c r="D11" s="20" t="n">
        <x:v>480</x:v>
      </x:c>
      <x:c r="E11" s="19" t="n">
        <x:v>3</x:v>
      </x:c>
      <x:c r="F11" s="20" t="n">
        <x:v>11.96</x:v>
      </x:c>
      <x:c r="G11" s="20" t="n">
        <x:v>3.05</x:v>
      </x:c>
      <x:c r="H11" s="20" t="str">
        <x:v>Chef Daniel Koh</x:v>
      </x:c>
      <x:c r="I11" s="20" t="n">
        <x:v>220</x:v>
      </x:c>
      <x:c r="J11" s="20" t="n">
        <x:v>60</x:v>
      </x:c>
      <x:c r="K11" s="20" t="n">
        <x:f>IF(OR(E11="UNKNOWN",F11="UNKNOWN",G11="UNKNOWN",I11="UNKNOWN",J11="UNKNOWN"),"UNKNOWN",F11*E11+G11+(I11+J11)*E11/8)</x:f>
        <x:v>143.93</x:v>
      </x:c>
      <x:c r="L11" s="20" t="n">
        <x:f>IF(OR(E11="UNKNOWN",F11="UNKNOWN",G11="UNKNOWN",I11="UNKNOWN",J11="UNKNOWN"),"UNKNOWN",F11*E11+G11+(I11+J11)*E11/10)</x:f>
        <x:v>122.93</x:v>
      </x:c>
      <x:c r="M11" s="20" t="n">
        <x:f>IF(OR(E11="UNKNOWN",F11="UNKNOWN",G11="UNKNOWN",I11="UNKNOWN",J11="UNKNOWN"),"UNKNOWN",F11*E11+G11+(I11+J11)*E11/12)</x:f>
        <x:v>108.93</x:v>
      </x:c>
      <x:c r="N11" s="21" t="n">
        <x:f>IF(OR(D11="UNKNOWN",L11="UNKNOWN"),"UNKNOWN",(D11-L11)/D11)</x:f>
        <x:v>0.7438958333333333</x:v>
      </x:c>
      <x:c r="O11" s="20" t="n">
        <x:f>IF(L11="UNKNOWN","UNKNOWN",L11/(1-45%))</x:f>
        <x:v>223.5090909090909</x:v>
      </x:c>
      <x:c r="P11" s="19" t="str">
        <x:f>IF(OR(D11="UNKNOWN",O11="UNKNOWN"),"UNKNOWN",IF(D11&lt;O11,"UNDERPRICED","OK"))</x:f>
        <x:v>OK</x:v>
      </x:c>
      <x:c r="Q11" s="19" t="str">
        <x:v>Drive: recipe-costs.csv; courses.json; instructors.csv; fixed-costs.csv</x:v>
      </x:c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9" t="str">
        <x:v>BAK-108</x:v>
      </x:c>
      <x:c r="B12" s="19" t="str">
        <x:v>Cookie &amp; Biscuit Baking</x:v>
      </x:c>
      <x:c r="C12" s="19" t="str">
        <x:v>Bakery</x:v>
      </x:c>
      <x:c r="D12" s="20" t="n">
        <x:v>180</x:v>
      </x:c>
      <x:c r="E12" s="19" t="n">
        <x:v>1</x:v>
      </x:c>
      <x:c r="F12" s="20" t="n">
        <x:v>10.94</x:v>
      </x:c>
      <x:c r="G12" s="20" t="n">
        <x:v>5.03</x:v>
      </x:c>
      <x:c r="H12" s="20" t="str">
        <x:v>Chef Mei Ling Tan</x:v>
      </x:c>
      <x:c r="I12" s="20" t="n">
        <x:v>220</x:v>
      </x:c>
      <x:c r="J12" s="20" t="n">
        <x:v>60</x:v>
      </x:c>
      <x:c r="K12" s="20" t="n">
        <x:f>IF(OR(E12="UNKNOWN",F12="UNKNOWN",G12="UNKNOWN",I12="UNKNOWN",J12="UNKNOWN"),"UNKNOWN",F12*E12+G12+(I12+J12)*E12/8)</x:f>
        <x:v>50.97</x:v>
      </x:c>
      <x:c r="L12" s="20" t="n">
        <x:f>IF(OR(E12="UNKNOWN",F12="UNKNOWN",G12="UNKNOWN",I12="UNKNOWN",J12="UNKNOWN"),"UNKNOWN",F12*E12+G12+(I12+J12)*E12/10)</x:f>
        <x:v>43.97</x:v>
      </x:c>
      <x:c r="M12" s="20" t="n">
        <x:f>IF(OR(E12="UNKNOWN",F12="UNKNOWN",G12="UNKNOWN",I12="UNKNOWN",J12="UNKNOWN"),"UNKNOWN",F12*E12+G12+(I12+J12)*E12/12)</x:f>
        <x:v>39.30333333333333</x:v>
      </x:c>
      <x:c r="N12" s="21" t="n">
        <x:f>IF(OR(D12="UNKNOWN",L12="UNKNOWN"),"UNKNOWN",(D12-L12)/D12)</x:f>
        <x:v>0.7557222222222222</x:v>
      </x:c>
      <x:c r="O12" s="20" t="n">
        <x:f>IF(L12="UNKNOWN","UNKNOWN",L12/(1-45%))</x:f>
        <x:v>79.94545454545454</x:v>
      </x:c>
      <x:c r="P12" s="19" t="str">
        <x:f>IF(OR(D12="UNKNOWN",O12="UNKNOWN"),"UNKNOWN",IF(D12&lt;O12,"UNDERPRICED","OK"))</x:f>
        <x:v>OK</x:v>
      </x:c>
      <x:c r="Q12" s="19" t="str">
        <x:v>Drive: recipe-costs.csv; courses.json; instructors.csv; fixed-costs.csv</x:v>
      </x:c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9" t="str">
        <x:v>BAK-109</x:v>
      </x:c>
      <x:c r="B13" s="19" t="str">
        <x:v>Pie &amp; Tart Specialist</x:v>
      </x:c>
      <x:c r="C13" s="19" t="str">
        <x:v>Bakery</x:v>
      </x:c>
      <x:c r="D13" s="20" t="n">
        <x:v>560</x:v>
      </x:c>
      <x:c r="E13" s="19" t="n">
        <x:v>3</x:v>
      </x:c>
      <x:c r="F13" s="20" t="n">
        <x:v>12.82</x:v>
      </x:c>
      <x:c r="G13" s="20" t="n">
        <x:v>4.37</x:v>
      </x:c>
      <x:c r="H13" s="20" t="str">
        <x:v>Chef Aurelie Martin</x:v>
      </x:c>
      <x:c r="I13" s="20" t="n">
        <x:v>220</x:v>
      </x:c>
      <x:c r="J13" s="20" t="n">
        <x:v>60</x:v>
      </x:c>
      <x:c r="K13" s="20" t="n">
        <x:f>IF(OR(E13="UNKNOWN",F13="UNKNOWN",G13="UNKNOWN",I13="UNKNOWN",J13="UNKNOWN"),"UNKNOWN",F13*E13+G13+(I13+J13)*E13/8)</x:f>
        <x:v>147.82999999999998</x:v>
      </x:c>
      <x:c r="L13" s="20" t="n">
        <x:f>IF(OR(E13="UNKNOWN",F13="UNKNOWN",G13="UNKNOWN",I13="UNKNOWN",J13="UNKNOWN"),"UNKNOWN",F13*E13+G13+(I13+J13)*E13/10)</x:f>
        <x:v>126.83</x:v>
      </x:c>
      <x:c r="M13" s="20" t="n">
        <x:f>IF(OR(E13="UNKNOWN",F13="UNKNOWN",G13="UNKNOWN",I13="UNKNOWN",J13="UNKNOWN"),"UNKNOWN",F13*E13+G13+(I13+J13)*E13/12)</x:f>
        <x:v>112.83</x:v>
      </x:c>
      <x:c r="N13" s="21" t="n">
        <x:f>IF(OR(D13="UNKNOWN",L13="UNKNOWN"),"UNKNOWN",(D13-L13)/D13)</x:f>
        <x:v>0.7735178571428571</x:v>
      </x:c>
      <x:c r="O13" s="20" t="n">
        <x:f>IF(L13="UNKNOWN","UNKNOWN",L13/(1-45%))</x:f>
        <x:v>230.59999999999997</x:v>
      </x:c>
      <x:c r="P13" s="19" t="str">
        <x:f>IF(OR(D13="UNKNOWN",O13="UNKNOWN"),"UNKNOWN",IF(D13&lt;O13,"UNDERPRICED","OK"))</x:f>
        <x:v>OK</x:v>
      </x:c>
      <x:c r="Q13" s="19" t="str">
        <x:v>Drive: recipe-costs.csv; courses.json; instructors.csv; fixed-costs.csv</x:v>
      </x:c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9" t="str">
        <x:v>BAK-110</x:v>
      </x:c>
      <x:c r="B14" s="19" t="str">
        <x:v>Korean &amp; Asian Bakery</x:v>
      </x:c>
      <x:c r="C14" s="19" t="str">
        <x:v>Bakery</x:v>
      </x:c>
      <x:c r="D14" s="20" t="n">
        <x:v>720</x:v>
      </x:c>
      <x:c r="E14" s="19" t="n">
        <x:v>4</x:v>
      </x:c>
      <x:c r="F14" s="20" t="n">
        <x:v>10.96</x:v>
      </x:c>
      <x:c r="G14" s="20" t="n">
        <x:v>6.85</x:v>
      </x:c>
      <x:c r="H14" s="20" t="str">
        <x:v>Chef Daniel Koh</x:v>
      </x:c>
      <x:c r="I14" s="20" t="n">
        <x:v>220</x:v>
      </x:c>
      <x:c r="J14" s="20" t="n">
        <x:v>60</x:v>
      </x:c>
      <x:c r="K14" s="20" t="n">
        <x:f>IF(OR(E14="UNKNOWN",F14="UNKNOWN",G14="UNKNOWN",I14="UNKNOWN",J14="UNKNOWN"),"UNKNOWN",F14*E14+G14+(I14+J14)*E14/8)</x:f>
        <x:v>190.69</x:v>
      </x:c>
      <x:c r="L14" s="20" t="n">
        <x:f>IF(OR(E14="UNKNOWN",F14="UNKNOWN",G14="UNKNOWN",I14="UNKNOWN",J14="UNKNOWN"),"UNKNOWN",F14*E14+G14+(I14+J14)*E14/10)</x:f>
        <x:v>162.69</x:v>
      </x:c>
      <x:c r="M14" s="20" t="n">
        <x:f>IF(OR(E14="UNKNOWN",F14="UNKNOWN",G14="UNKNOWN",I14="UNKNOWN",J14="UNKNOWN"),"UNKNOWN",F14*E14+G14+(I14+J14)*E14/12)</x:f>
        <x:v>144.02333333333334</x:v>
      </x:c>
      <x:c r="N14" s="21" t="n">
        <x:f>IF(OR(D14="UNKNOWN",L14="UNKNOWN"),"UNKNOWN",(D14-L14)/D14)</x:f>
        <x:v>0.7740416666666666</x:v>
      </x:c>
      <x:c r="O14" s="20" t="n">
        <x:f>IF(L14="UNKNOWN","UNKNOWN",L14/(1-45%))</x:f>
        <x:v>295.79999999999995</x:v>
      </x:c>
      <x:c r="P14" s="19" t="str">
        <x:f>IF(OR(D14="UNKNOWN",O14="UNKNOWN"),"UNKNOWN",IF(D14&lt;O14,"UNDERPRICED","OK"))</x:f>
        <x:v>OK</x:v>
      </x:c>
      <x:c r="Q14" s="19" t="str">
        <x:v>Drive: recipe-costs.csv; courses.json; instructors.csv; fixed-costs.csv</x:v>
      </x:c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9" t="str">
        <x:v>CUL-201</x:v>
      </x:c>
      <x:c r="B15" s="19" t="str">
        <x:v>Italian Cuisine Mastery</x:v>
      </x:c>
      <x:c r="C15" s="19" t="str">
        <x:v>Cooking</x:v>
      </x:c>
      <x:c r="D15" s="20" t="n">
        <x:v>1180</x:v>
      </x:c>
      <x:c r="E15" s="19" t="n">
        <x:v>6</x:v>
      </x:c>
      <x:c r="F15" s="20" t="n">
        <x:v>27.35</x:v>
      </x:c>
      <x:c r="G15" s="20" t="n">
        <x:v>3.78</x:v>
      </x:c>
      <x:c r="H15" s="20" t="str">
        <x:v>Chef Marco Rossi</x:v>
      </x:c>
      <x:c r="I15" s="20" t="n">
        <x:v>240</x:v>
      </x:c>
      <x:c r="J15" s="20" t="n">
        <x:v>60</x:v>
      </x:c>
      <x:c r="K15" s="20" t="n">
        <x:f>IF(OR(E15="UNKNOWN",F15="UNKNOWN",G15="UNKNOWN",I15="UNKNOWN",J15="UNKNOWN"),"UNKNOWN",F15*E15+G15+(I15+J15)*E15/8)</x:f>
        <x:v>392.88</x:v>
      </x:c>
      <x:c r="L15" s="20" t="n">
        <x:f>IF(OR(E15="UNKNOWN",F15="UNKNOWN",G15="UNKNOWN",I15="UNKNOWN",J15="UNKNOWN"),"UNKNOWN",F15*E15+G15+(I15+J15)*E15/10)</x:f>
        <x:v>347.88</x:v>
      </x:c>
      <x:c r="M15" s="20" t="n">
        <x:f>IF(OR(E15="UNKNOWN",F15="UNKNOWN",G15="UNKNOWN",I15="UNKNOWN",J15="UNKNOWN"),"UNKNOWN",F15*E15+G15+(I15+J15)*E15/12)</x:f>
        <x:v>317.88</x:v>
      </x:c>
      <x:c r="N15" s="21" t="n">
        <x:f>IF(OR(D15="UNKNOWN",L15="UNKNOWN"),"UNKNOWN",(D15-L15)/D15)</x:f>
        <x:v>0.7051864406779661</x:v>
      </x:c>
      <x:c r="O15" s="20" t="n">
        <x:f>IF(L15="UNKNOWN","UNKNOWN",L15/(1-45%))</x:f>
        <x:v>632.5090909090909</x:v>
      </x:c>
      <x:c r="P15" s="19" t="str">
        <x:f>IF(OR(D15="UNKNOWN",O15="UNKNOWN"),"UNKNOWN",IF(D15&lt;O15,"UNDERPRICED","OK"))</x:f>
        <x:v>OK</x:v>
      </x:c>
      <x:c r="Q15" s="19" t="str">
        <x:v>Drive: recipe-costs.csv; courses.json; instructors.csv; fixed-costs.csv</x:v>
      </x:c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9" t="str">
        <x:v>CUL-202</x:v>
      </x:c>
      <x:c r="B16" s="19" t="str">
        <x:v>Thai Street Food Cooking</x:v>
      </x:c>
      <x:c r="C16" s="19" t="str">
        <x:v>Cooking</x:v>
      </x:c>
      <x:c r="D16" s="20" t="n">
        <x:v>540</x:v>
      </x:c>
      <x:c r="E16" s="19" t="n">
        <x:v>3</x:v>
      </x:c>
      <x:c r="F16" s="20" t="n">
        <x:v>16.18</x:v>
      </x:c>
      <x:c r="G16" s="20" t="n">
        <x:v>7.94</x:v>
      </x:c>
      <x:c r="H16" s="20" t="str">
        <x:v>Chef Siriporn Chai</x:v>
      </x:c>
      <x:c r="I16" s="20" t="n">
        <x:v>240</x:v>
      </x:c>
      <x:c r="J16" s="20" t="n">
        <x:v>60</x:v>
      </x:c>
      <x:c r="K16" s="20" t="n">
        <x:f>IF(OR(E16="UNKNOWN",F16="UNKNOWN",G16="UNKNOWN",I16="UNKNOWN",J16="UNKNOWN"),"UNKNOWN",F16*E16+G16+(I16+J16)*E16/8)</x:f>
        <x:v>168.98</x:v>
      </x:c>
      <x:c r="L16" s="20" t="n">
        <x:f>IF(OR(E16="UNKNOWN",F16="UNKNOWN",G16="UNKNOWN",I16="UNKNOWN",J16="UNKNOWN"),"UNKNOWN",F16*E16+G16+(I16+J16)*E16/10)</x:f>
        <x:v>146.48</x:v>
      </x:c>
      <x:c r="M16" s="20" t="n">
        <x:f>IF(OR(E16="UNKNOWN",F16="UNKNOWN",G16="UNKNOWN",I16="UNKNOWN",J16="UNKNOWN"),"UNKNOWN",F16*E16+G16+(I16+J16)*E16/12)</x:f>
        <x:v>131.48</x:v>
      </x:c>
      <x:c r="N16" s="21" t="n">
        <x:f>IF(OR(D16="UNKNOWN",L16="UNKNOWN"),"UNKNOWN",(D16-L16)/D16)</x:f>
        <x:v>0.7287407407407407</x:v>
      </x:c>
      <x:c r="O16" s="20" t="n">
        <x:f>IF(L16="UNKNOWN","UNKNOWN",L16/(1-45%))</x:f>
        <x:v>266.3272727272727</x:v>
      </x:c>
      <x:c r="P16" s="19" t="str">
        <x:f>IF(OR(D16="UNKNOWN",O16="UNKNOWN"),"UNKNOWN",IF(D16&lt;O16,"UNDERPRICED","OK"))</x:f>
        <x:v>OK</x:v>
      </x:c>
      <x:c r="Q16" s="19" t="str">
        <x:v>Drive: recipe-costs.csv; courses.json; instructors.csv; fixed-costs.csv</x:v>
      </x:c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9" t="str">
        <x:v>CUL-203</x:v>
      </x:c>
      <x:c r="B17" s="19" t="str">
        <x:v>Japanese Sushi &amp; Sashimi</x:v>
      </x:c>
      <x:c r="C17" s="19" t="str">
        <x:v>Cooking</x:v>
      </x:c>
      <x:c r="D17" s="20" t="n">
        <x:v>980</x:v>
      </x:c>
      <x:c r="E17" s="19" t="n">
        <x:v>4</x:v>
      </x:c>
      <x:c r="F17" s="20" t="n">
        <x:v>37.48</x:v>
      </x:c>
      <x:c r="G17" s="20" t="n">
        <x:v>5.61</x:v>
      </x:c>
      <x:c r="H17" s="20" t="str">
        <x:v>Chef Kenji Watanabe</x:v>
      </x:c>
      <x:c r="I17" s="20" t="n">
        <x:v>240</x:v>
      </x:c>
      <x:c r="J17" s="20" t="n">
        <x:v>60</x:v>
      </x:c>
      <x:c r="K17" s="20" t="n">
        <x:f>IF(OR(E17="UNKNOWN",F17="UNKNOWN",G17="UNKNOWN",I17="UNKNOWN",J17="UNKNOWN"),"UNKNOWN",F17*E17+G17+(I17+J17)*E17/8)</x:f>
        <x:v>305.53</x:v>
      </x:c>
      <x:c r="L17" s="20" t="n">
        <x:f>IF(OR(E17="UNKNOWN",F17="UNKNOWN",G17="UNKNOWN",I17="UNKNOWN",J17="UNKNOWN"),"UNKNOWN",F17*E17+G17+(I17+J17)*E17/10)</x:f>
        <x:v>275.53</x:v>
      </x:c>
      <x:c r="M17" s="20" t="n">
        <x:f>IF(OR(E17="UNKNOWN",F17="UNKNOWN",G17="UNKNOWN",I17="UNKNOWN",J17="UNKNOWN"),"UNKNOWN",F17*E17+G17+(I17+J17)*E17/12)</x:f>
        <x:v>255.53</x:v>
      </x:c>
      <x:c r="N17" s="21" t="n">
        <x:f>IF(OR(D17="UNKNOWN",L17="UNKNOWN"),"UNKNOWN",(D17-L17)/D17)</x:f>
        <x:v>0.7188469387755102</x:v>
      </x:c>
      <x:c r="O17" s="20" t="n">
        <x:f>IF(L17="UNKNOWN","UNKNOWN",L17/(1-45%))</x:f>
        <x:v>500.9636363636363</x:v>
      </x:c>
      <x:c r="P17" s="19" t="str">
        <x:f>IF(OR(D17="UNKNOWN",O17="UNKNOWN"),"UNKNOWN",IF(D17&lt;O17,"UNDERPRICED","OK"))</x:f>
        <x:v>OK</x:v>
      </x:c>
      <x:c r="Q17" s="19" t="str">
        <x:v>Drive: recipe-costs.csv; courses.json; instructors.csv; fixed-costs.csv</x:v>
      </x:c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9" t="str">
        <x:v>CUL-204</x:v>
      </x:c>
      <x:c r="B18" s="19" t="str">
        <x:v>French Culinary Foundations</x:v>
      </x:c>
      <x:c r="C18" s="19" t="str">
        <x:v>Cooking</x:v>
      </x:c>
      <x:c r="D18" s="20" t="n">
        <x:v>1580</x:v>
      </x:c>
      <x:c r="E18" s="19" t="n">
        <x:v>8</x:v>
      </x:c>
      <x:c r="F18" s="20" t="n">
        <x:v>24.41</x:v>
      </x:c>
      <x:c r="G18" s="20" t="n">
        <x:v>4.15</x:v>
      </x:c>
      <x:c r="H18" s="20" t="str">
        <x:v>Chef Marco Rossi</x:v>
      </x:c>
      <x:c r="I18" s="20" t="n">
        <x:v>240</x:v>
      </x:c>
      <x:c r="J18" s="20" t="n">
        <x:v>60</x:v>
      </x:c>
      <x:c r="K18" s="20" t="n">
        <x:f>IF(OR(E18="UNKNOWN",F18="UNKNOWN",G18="UNKNOWN",I18="UNKNOWN",J18="UNKNOWN"),"UNKNOWN",F18*E18+G18+(I18+J18)*E18/8)</x:f>
        <x:v>499.43</x:v>
      </x:c>
      <x:c r="L18" s="20" t="n">
        <x:f>IF(OR(E18="UNKNOWN",F18="UNKNOWN",G18="UNKNOWN",I18="UNKNOWN",J18="UNKNOWN"),"UNKNOWN",F18*E18+G18+(I18+J18)*E18/10)</x:f>
        <x:v>439.43</x:v>
      </x:c>
      <x:c r="M18" s="20" t="n">
        <x:f>IF(OR(E18="UNKNOWN",F18="UNKNOWN",G18="UNKNOWN",I18="UNKNOWN",J18="UNKNOWN"),"UNKNOWN",F18*E18+G18+(I18+J18)*E18/12)</x:f>
        <x:v>399.43</x:v>
      </x:c>
      <x:c r="N18" s="21" t="n">
        <x:f>IF(OR(D18="UNKNOWN",L18="UNKNOWN"),"UNKNOWN",(D18-L18)/D18)</x:f>
        <x:v>0.721879746835443</x:v>
      </x:c>
      <x:c r="O18" s="20" t="n">
        <x:f>IF(L18="UNKNOWN","UNKNOWN",L18/(1-45%))</x:f>
        <x:v>798.9636363636363</x:v>
      </x:c>
      <x:c r="P18" s="19" t="str">
        <x:f>IF(OR(D18="UNKNOWN",O18="UNKNOWN"),"UNKNOWN",IF(D18&lt;O18,"UNDERPRICED","OK"))</x:f>
        <x:v>OK</x:v>
      </x:c>
      <x:c r="Q18" s="19" t="str">
        <x:v>Drive: recipe-costs.csv; courses.json; instructors.csv; fixed-costs.csv</x:v>
      </x:c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9" t="str">
        <x:v>CUL-205</x:v>
      </x:c>
      <x:c r="B19" s="19" t="str">
        <x:v>Chinese Wok Cooking</x:v>
      </x:c>
      <x:c r="C19" s="19" t="str">
        <x:v>Cooking</x:v>
      </x:c>
      <x:c r="D19" s="20" t="n">
        <x:v>520</x:v>
      </x:c>
      <x:c r="E19" s="19" t="n">
        <x:v>3</x:v>
      </x:c>
      <x:c r="F19" s="20" t="n">
        <x:v>24.07</x:v>
      </x:c>
      <x:c r="G19" s="20" t="n">
        <x:v>3.86</x:v>
      </x:c>
      <x:c r="H19" s="20" t="str">
        <x:v>Chef Siriporn Chai</x:v>
      </x:c>
      <x:c r="I19" s="20" t="n">
        <x:v>240</x:v>
      </x:c>
      <x:c r="J19" s="20" t="n">
        <x:v>60</x:v>
      </x:c>
      <x:c r="K19" s="20" t="n">
        <x:f>IF(OR(E19="UNKNOWN",F19="UNKNOWN",G19="UNKNOWN",I19="UNKNOWN",J19="UNKNOWN"),"UNKNOWN",F19*E19+G19+(I19+J19)*E19/8)</x:f>
        <x:v>188.57</x:v>
      </x:c>
      <x:c r="L19" s="20" t="n">
        <x:f>IF(OR(E19="UNKNOWN",F19="UNKNOWN",G19="UNKNOWN",I19="UNKNOWN",J19="UNKNOWN"),"UNKNOWN",F19*E19+G19+(I19+J19)*E19/10)</x:f>
        <x:v>166.07</x:v>
      </x:c>
      <x:c r="M19" s="20" t="n">
        <x:f>IF(OR(E19="UNKNOWN",F19="UNKNOWN",G19="UNKNOWN",I19="UNKNOWN",J19="UNKNOWN"),"UNKNOWN",F19*E19+G19+(I19+J19)*E19/12)</x:f>
        <x:v>151.07</x:v>
      </x:c>
      <x:c r="N19" s="21" t="n">
        <x:f>IF(OR(D19="UNKNOWN",L19="UNKNOWN"),"UNKNOWN",(D19-L19)/D19)</x:f>
        <x:v>0.6806346153846154</x:v>
      </x:c>
      <x:c r="O19" s="20" t="n">
        <x:f>IF(L19="UNKNOWN","UNKNOWN",L19/(1-45%))</x:f>
        <x:v>301.9454545454545</x:v>
      </x:c>
      <x:c r="P19" s="19" t="str">
        <x:f>IF(OR(D19="UNKNOWN",O19="UNKNOWN"),"UNKNOWN",IF(D19&lt;O19,"UNDERPRICED","OK"))</x:f>
        <x:v>OK</x:v>
      </x:c>
      <x:c r="Q19" s="19" t="str">
        <x:v>Drive: recipe-costs.csv; courses.json; instructors.csv; fixed-costs.csv</x:v>
      </x:c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9" t="str">
        <x:v>CUL-206</x:v>
      </x:c>
      <x:c r="B20" s="19" t="str">
        <x:v>Indian Curry &amp; Spices</x:v>
      </x:c>
      <x:c r="C20" s="19" t="str">
        <x:v>Cooking</x:v>
      </x:c>
      <x:c r="D20" s="20" t="n">
        <x:v>500</x:v>
      </x:c>
      <x:c r="E20" s="19" t="n">
        <x:v>3</x:v>
      </x:c>
      <x:c r="F20" s="20" t="n">
        <x:v>19.57</x:v>
      </x:c>
      <x:c r="G20" s="20" t="n">
        <x:v>3.68</x:v>
      </x:c>
      <x:c r="H20" s="20" t="str">
        <x:v>Chef Anjali Rao</x:v>
      </x:c>
      <x:c r="I20" s="20" t="n">
        <x:v>240</x:v>
      </x:c>
      <x:c r="J20" s="20" t="n">
        <x:v>60</x:v>
      </x:c>
      <x:c r="K20" s="20" t="n">
        <x:f>IF(OR(E20="UNKNOWN",F20="UNKNOWN",G20="UNKNOWN",I20="UNKNOWN",J20="UNKNOWN"),"UNKNOWN",F20*E20+G20+(I20+J20)*E20/8)</x:f>
        <x:v>174.89</x:v>
      </x:c>
      <x:c r="L20" s="20" t="n">
        <x:f>IF(OR(E20="UNKNOWN",F20="UNKNOWN",G20="UNKNOWN",I20="UNKNOWN",J20="UNKNOWN"),"UNKNOWN",F20*E20+G20+(I20+J20)*E20/10)</x:f>
        <x:v>152.39</x:v>
      </x:c>
      <x:c r="M20" s="20" t="n">
        <x:f>IF(OR(E20="UNKNOWN",F20="UNKNOWN",G20="UNKNOWN",I20="UNKNOWN",J20="UNKNOWN"),"UNKNOWN",F20*E20+G20+(I20+J20)*E20/12)</x:f>
        <x:v>137.39</x:v>
      </x:c>
      <x:c r="N20" s="21" t="n">
        <x:f>IF(OR(D20="UNKNOWN",L20="UNKNOWN"),"UNKNOWN",(D20-L20)/D20)</x:f>
        <x:v>0.6952200000000001</x:v>
      </x:c>
      <x:c r="O20" s="20" t="n">
        <x:f>IF(L20="UNKNOWN","UNKNOWN",L20/(1-45%))</x:f>
        <x:v>277.0727272727272</x:v>
      </x:c>
      <x:c r="P20" s="19" t="str">
        <x:f>IF(OR(D20="UNKNOWN",O20="UNKNOWN"),"UNKNOWN",IF(D20&lt;O20,"UNDERPRICED","OK"))</x:f>
        <x:v>OK</x:v>
      </x:c>
      <x:c r="Q20" s="19" t="str">
        <x:v>Drive: recipe-costs.csv; courses.json; instructors.csv; fixed-costs.csv</x:v>
      </x:c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9" t="str">
        <x:v>CUL-207</x:v>
      </x:c>
      <x:c r="B21" s="19" t="str">
        <x:v>Healthy Meal Prep &amp; Nutrition</x:v>
      </x:c>
      <x:c r="C21" s="19" t="str">
        <x:v>Cooking</x:v>
      </x:c>
      <x:c r="D21" s="20" t="n">
        <x:v>360</x:v>
      </x:c>
      <x:c r="E21" s="19" t="n">
        <x:v>2</x:v>
      </x:c>
      <x:c r="F21" s="20" t="n">
        <x:v>24.59</x:v>
      </x:c>
      <x:c r="G21" s="20" t="n">
        <x:v>4.61</x:v>
      </x:c>
      <x:c r="H21" s="20" t="str">
        <x:v>Chef Anjali Rao</x:v>
      </x:c>
      <x:c r="I21" s="20" t="n">
        <x:v>240</x:v>
      </x:c>
      <x:c r="J21" s="20" t="n">
        <x:v>60</x:v>
      </x:c>
      <x:c r="K21" s="20" t="n">
        <x:f>IF(OR(E21="UNKNOWN",F21="UNKNOWN",G21="UNKNOWN",I21="UNKNOWN",J21="UNKNOWN"),"UNKNOWN",F21*E21+G21+(I21+J21)*E21/8)</x:f>
        <x:v>128.79</x:v>
      </x:c>
      <x:c r="L21" s="20" t="n">
        <x:f>IF(OR(E21="UNKNOWN",F21="UNKNOWN",G21="UNKNOWN",I21="UNKNOWN",J21="UNKNOWN"),"UNKNOWN",F21*E21+G21+(I21+J21)*E21/10)</x:f>
        <x:v>113.78999999999999</x:v>
      </x:c>
      <x:c r="M21" s="20" t="n">
        <x:f>IF(OR(E21="UNKNOWN",F21="UNKNOWN",G21="UNKNOWN",I21="UNKNOWN",J21="UNKNOWN"),"UNKNOWN",F21*E21+G21+(I21+J21)*E21/12)</x:f>
        <x:v>103.78999999999999</x:v>
      </x:c>
      <x:c r="N21" s="21" t="n">
        <x:f>IF(OR(D21="UNKNOWN",L21="UNKNOWN"),"UNKNOWN",(D21-L21)/D21)</x:f>
        <x:v>0.6839166666666667</x:v>
      </x:c>
      <x:c r="O21" s="20" t="n">
        <x:f>IF(L21="UNKNOWN","UNKNOWN",L21/(1-45%))</x:f>
        <x:v>206.89090909090905</x:v>
      </x:c>
      <x:c r="P21" s="19" t="str">
        <x:f>IF(OR(D21="UNKNOWN",O21="UNKNOWN"),"UNKNOWN",IF(D21&lt;O21,"UNDERPRICED","OK"))</x:f>
        <x:v>OK</x:v>
      </x:c>
      <x:c r="Q21" s="19" t="str">
        <x:v>Drive: recipe-costs.csv; courses.json; instructors.csv; fixed-costs.csv</x:v>
      </x:c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9" t="str">
        <x:v>CUL-208</x:v>
      </x:c>
      <x:c r="B22" s="19" t="str">
        <x:v>Vegetarian &amp; Vegan Cuisine</x:v>
      </x:c>
      <x:c r="C22" s="19" t="str">
        <x:v>Cooking</x:v>
      </x:c>
      <x:c r="D22" s="20" t="n">
        <x:v>540</x:v>
      </x:c>
      <x:c r="E22" s="19" t="n">
        <x:v>3</x:v>
      </x:c>
      <x:c r="F22" s="20" t="n">
        <x:v>15.94</x:v>
      </x:c>
      <x:c r="G22" s="20" t="n">
        <x:v>3.32</x:v>
      </x:c>
      <x:c r="H22" s="20" t="str">
        <x:v>Chef Anjali Rao</x:v>
      </x:c>
      <x:c r="I22" s="20" t="n">
        <x:v>240</x:v>
      </x:c>
      <x:c r="J22" s="20" t="n">
        <x:v>60</x:v>
      </x:c>
      <x:c r="K22" s="20" t="n">
        <x:f>IF(OR(E22="UNKNOWN",F22="UNKNOWN",G22="UNKNOWN",I22="UNKNOWN",J22="UNKNOWN"),"UNKNOWN",F22*E22+G22+(I22+J22)*E22/8)</x:f>
        <x:v>163.64</x:v>
      </x:c>
      <x:c r="L22" s="20" t="n">
        <x:f>IF(OR(E22="UNKNOWN",F22="UNKNOWN",G22="UNKNOWN",I22="UNKNOWN",J22="UNKNOWN"),"UNKNOWN",F22*E22+G22+(I22+J22)*E22/10)</x:f>
        <x:v>141.14</x:v>
      </x:c>
      <x:c r="M22" s="20" t="n">
        <x:f>IF(OR(E22="UNKNOWN",F22="UNKNOWN",G22="UNKNOWN",I22="UNKNOWN",J22="UNKNOWN"),"UNKNOWN",F22*E22+G22+(I22+J22)*E22/12)</x:f>
        <x:v>126.14</x:v>
      </x:c>
      <x:c r="N22" s="21" t="n">
        <x:f>IF(OR(D22="UNKNOWN",L22="UNKNOWN"),"UNKNOWN",(D22-L22)/D22)</x:f>
        <x:v>0.7386296296296296</x:v>
      </x:c>
      <x:c r="O22" s="20" t="n">
        <x:f>IF(L22="UNKNOWN","UNKNOWN",L22/(1-45%))</x:f>
        <x:v>256.61818181818177</x:v>
      </x:c>
      <x:c r="P22" s="19" t="str">
        <x:f>IF(OR(D22="UNKNOWN",O22="UNKNOWN"),"UNKNOWN",IF(D22&lt;O22,"UNDERPRICED","OK"))</x:f>
        <x:v>OK</x:v>
      </x:c>
      <x:c r="Q22" s="19" t="str">
        <x:v>Drive: recipe-costs.csv; courses.json; instructors.csv; fixed-costs.csv</x:v>
      </x:c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9" t="str">
        <x:v>CUL-209</x:v>
      </x:c>
      <x:c r="B23" s="19" t="str">
        <x:v>Grilling &amp; BBQ Mastery</x:v>
      </x:c>
      <x:c r="C23" s="19" t="str">
        <x:v>Cooking</x:v>
      </x:c>
      <x:c r="D23" s="20" t="n">
        <x:v>460</x:v>
      </x:c>
      <x:c r="E23" s="19" t="n">
        <x:v>2</x:v>
      </x:c>
      <x:c r="F23" s="20" t="n">
        <x:v>21.77</x:v>
      </x:c>
      <x:c r="G23" s="20" t="n">
        <x:v>6.18</x:v>
      </x:c>
      <x:c r="H23" s="20" t="str">
        <x:v>Chef Kenji Watanabe</x:v>
      </x:c>
      <x:c r="I23" s="20" t="n">
        <x:v>240</x:v>
      </x:c>
      <x:c r="J23" s="20" t="n">
        <x:v>60</x:v>
      </x:c>
      <x:c r="K23" s="20" t="n">
        <x:f>IF(OR(E23="UNKNOWN",F23="UNKNOWN",G23="UNKNOWN",I23="UNKNOWN",J23="UNKNOWN"),"UNKNOWN",F23*E23+G23+(I23+J23)*E23/8)</x:f>
        <x:v>124.72</x:v>
      </x:c>
      <x:c r="L23" s="20" t="n">
        <x:f>IF(OR(E23="UNKNOWN",F23="UNKNOWN",G23="UNKNOWN",I23="UNKNOWN",J23="UNKNOWN"),"UNKNOWN",F23*E23+G23+(I23+J23)*E23/10)</x:f>
        <x:v>109.72</x:v>
      </x:c>
      <x:c r="M23" s="20" t="n">
        <x:f>IF(OR(E23="UNKNOWN",F23="UNKNOWN",G23="UNKNOWN",I23="UNKNOWN",J23="UNKNOWN"),"UNKNOWN",F23*E23+G23+(I23+J23)*E23/12)</x:f>
        <x:v>99.72</x:v>
      </x:c>
      <x:c r="N23" s="21" t="n">
        <x:f>IF(OR(D23="UNKNOWN",L23="UNKNOWN"),"UNKNOWN",(D23-L23)/D23)</x:f>
        <x:v>0.7614782608695652</x:v>
      </x:c>
      <x:c r="O23" s="20" t="n">
        <x:f>IF(L23="UNKNOWN","UNKNOWN",L23/(1-45%))</x:f>
        <x:v>199.49090909090907</x:v>
      </x:c>
      <x:c r="P23" s="19" t="str">
        <x:f>IF(OR(D23="UNKNOWN",O23="UNKNOWN"),"UNKNOWN",IF(D23&lt;O23,"UNDERPRICED","OK"))</x:f>
        <x:v>OK</x:v>
      </x:c>
      <x:c r="Q23" s="19" t="str">
        <x:v>Drive: recipe-costs.csv; courses.json; instructors.csv; fixed-costs.csv</x:v>
      </x:c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9" t="str">
        <x:v>CUL-210</x:v>
      </x:c>
      <x:c r="B24" s="19" t="str">
        <x:v>Knife Skills &amp; Kitchen Essentials</x:v>
      </x:c>
      <x:c r="C24" s="19" t="str">
        <x:v>Cooking</x:v>
      </x:c>
      <x:c r="D24" s="20" t="n">
        <x:v>160</x:v>
      </x:c>
      <x:c r="E24" s="19" t="n">
        <x:v>1</x:v>
      </x:c>
      <x:c r="F24" s="20" t="n">
        <x:v>18.9</x:v>
      </x:c>
      <x:c r="G24" s="20" t="n">
        <x:v>3.28</x:v>
      </x:c>
      <x:c r="H24" s="20" t="str">
        <x:v>Chef Anjali Rao</x:v>
      </x:c>
      <x:c r="I24" s="20" t="n">
        <x:v>240</x:v>
      </x:c>
      <x:c r="J24" s="20" t="n">
        <x:v>60</x:v>
      </x:c>
      <x:c r="K24" s="20" t="n">
        <x:f>IF(OR(E24="UNKNOWN",F24="UNKNOWN",G24="UNKNOWN",I24="UNKNOWN",J24="UNKNOWN"),"UNKNOWN",F24*E24+G24+(I24+J24)*E24/8)</x:f>
        <x:v>59.68</x:v>
      </x:c>
      <x:c r="L24" s="20" t="n">
        <x:f>IF(OR(E24="UNKNOWN",F24="UNKNOWN",G24="UNKNOWN",I24="UNKNOWN",J24="UNKNOWN"),"UNKNOWN",F24*E24+G24+(I24+J24)*E24/10)</x:f>
        <x:v>52.18</x:v>
      </x:c>
      <x:c r="M24" s="20" t="n">
        <x:f>IF(OR(E24="UNKNOWN",F24="UNKNOWN",G24="UNKNOWN",I24="UNKNOWN",J24="UNKNOWN"),"UNKNOWN",F24*E24+G24+(I24+J24)*E24/12)</x:f>
        <x:v>47.18</x:v>
      </x:c>
      <x:c r="N24" s="21" t="n">
        <x:f>IF(OR(D24="UNKNOWN",L24="UNKNOWN"),"UNKNOWN",(D24-L24)/D24)</x:f>
        <x:v>0.673875</x:v>
      </x:c>
      <x:c r="O24" s="20" t="n">
        <x:f>IF(L24="UNKNOWN","UNKNOWN",L24/(1-45%))</x:f>
        <x:v>94.87272727272726</x:v>
      </x:c>
      <x:c r="P24" s="19" t="str">
        <x:f>IF(OR(D24="UNKNOWN",O24="UNKNOWN"),"UNKNOWN",IF(D24&lt;O24,"UNDERPRICED","OK"))</x:f>
        <x:v>OK</x:v>
      </x:c>
      <x:c r="Q24" s="19" t="str">
        <x:v>Drive: recipe-costs.csv; courses.json; instructors.csv; fixed-costs.csv</x:v>
      </x:c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conditionalFormatting sqref="P5:P24">
    <x:cfRule type="expression" dxfId="0" priority="1">
      <x:formula>P5="UNDERPRICED"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5" hidden="0" customWidth="1"/>
    <x:col min="3" max="3" width="28" hidden="0" customWidth="1"/>
    <x:col min="4" max="4" width="28" hidden="0" customWidth="1"/>
  </x:cols>
  <x:sheetData>
    <x:row r="1">
      <x:c r="A1" s="15" t="str">
        <x:v>Fixed costs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7" t="str">
        <x:v>Monthly fixed-cost total excludes the separately listed per-session assistant wage.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8" t="str">
        <x:v>Item</x:v>
      </x:c>
      <x:c r="B4" s="18" t="str">
        <x:v>Amount</x:v>
      </x:c>
      <x:c r="C4" s="18" t="str">
        <x:v>Basis</x:v>
      </x:c>
      <x:c r="D4" s="18" t="str">
        <x:v>Monthly treatment</x:v>
      </x:c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Orchard Road Bakehouse rent</x:v>
      </x:c>
      <x:c r="B5" s="22" t="n">
        <x:v>14500</x:v>
      </x:c>
      <x:c r="C5" s="16" t="str">
        <x:v>monthly</x:v>
      </x:c>
      <x:c r="D5" s="16" t="str">
        <x:f>IF(C5="monthly","Included in monthly fixed costs","Variable per session; excluded")</x:f>
        <x:v>Included in monthly fixed costs</x:v>
      </x:c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Bukit Timah Culinary Campus rent</x:v>
      </x:c>
      <x:c r="B6" s="22" t="n">
        <x:v>11800</x:v>
      </x:c>
      <x:c r="C6" s="16" t="str">
        <x:v>monthly</x:v>
      </x:c>
      <x:c r="D6" s="16" t="str">
        <x:f>IF(C6="monthly","Included in monthly fixed costs","Variable per session; excluded")</x:f>
        <x:v>Included in monthly fixed costs</x:v>
      </x:c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Utilities (both campuses)</x:v>
      </x:c>
      <x:c r="B7" s="22" t="n">
        <x:v>3900</x:v>
      </x:c>
      <x:c r="C7" s="16" t="str">
        <x:v>monthly</x:v>
      </x:c>
      <x:c r="D7" s="16" t="str">
        <x:f>IF(C7="monthly","Included in monthly fixed costs","Variable per session; excluded")</x:f>
        <x:v>Included in monthly fixed costs</x:v>
      </x:c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Equipment lease and maintenance</x:v>
      </x:c>
      <x:c r="B8" s="22" t="n">
        <x:v>2600</x:v>
      </x:c>
      <x:c r="C8" s="16" t="str">
        <x:v>monthly</x:v>
      </x:c>
      <x:c r="D8" s="16" t="str">
        <x:f>IF(C8="monthly","Included in monthly fixed costs","Variable per session; excluded")</x:f>
        <x:v>Included in monthly fixed costs</x:v>
      </x:c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str">
        <x:v>Insurance</x:v>
      </x:c>
      <x:c r="B9" s="22" t="n">
        <x:v>850</x:v>
      </x:c>
      <x:c r="C9" s="16" t="str">
        <x:v>monthly</x:v>
      </x:c>
      <x:c r="D9" s="16" t="str">
        <x:f>IF(C9="monthly","Included in monthly fixed costs","Variable per session; excluded")</x:f>
        <x:v>Included in monthly fixed costs</x:v>
      </x:c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 t="str">
        <x:v>Software, website and payment fees</x:v>
      </x:c>
      <x:c r="B10" s="22" t="n">
        <x:v>640</x:v>
      </x:c>
      <x:c r="C10" s="16" t="str">
        <x:v>monthly</x:v>
      </x:c>
      <x:c r="D10" s="16" t="str">
        <x:f>IF(C10="monthly","Included in monthly fixed costs","Variable per session; excluded")</x:f>
        <x:v>Included in monthly fixed costs</x:v>
      </x:c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 t="str">
        <x:v>Marketing budget</x:v>
      </x:c>
      <x:c r="B11" s="22" t="n">
        <x:v>3000</x:v>
      </x:c>
      <x:c r="C11" s="16" t="str">
        <x:v>monthly</x:v>
      </x:c>
      <x:c r="D11" s="16" t="str">
        <x:f>IF(C11="monthly","Included in monthly fixed costs","Variable per session; excluded")</x:f>
        <x:v>Included in monthly fixed costs</x:v>
      </x:c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 t="str">
        <x:v>Administrator salary (1 FTE)</x:v>
      </x:c>
      <x:c r="B12" s="22" t="n">
        <x:v>4200</x:v>
      </x:c>
      <x:c r="C12" s="16" t="str">
        <x:v>monthly</x:v>
      </x:c>
      <x:c r="D12" s="16" t="str">
        <x:f>IF(C12="monthly","Included in monthly fixed costs","Variable per session; excluded")</x:f>
        <x:v>Included in monthly fixed costs</x:v>
      </x:c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 t="str">
        <x:v>Kitchen assistant wages (part-time, per session)</x:v>
      </x:c>
      <x:c r="B13" s="22" t="n">
        <x:v>60</x:v>
      </x:c>
      <x:c r="C13" s="16" t="str">
        <x:v>per_session</x:v>
      </x:c>
      <x:c r="D13" s="16" t="str">
        <x:f>IF(C13="monthly","Included in monthly fixed costs","Variable per session; excluded")</x:f>
        <x:v>Variable per session; excluded</x:v>
      </x:c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/>
      <x:c r="B14" s="22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8" t="str">
        <x:v>Monthly fixed costs</x:v>
      </x:c>
      <x:c r="B15" s="22" t="n">
        <x:f>SUMIF(C5:C13,"monthly",B5:B13)</x:f>
        <x:v>41490</x:v>
      </x:c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8" t="str">
        <x:v>Per-session assistant wage</x:v>
      </x:c>
      <x:c r="B16" s="22" t="n">
        <x:f>SUMIF(C5:C13,"per_session",B5:B13)</x:f>
        <x:v>60</x:v>
      </x:c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8" t="str">
        <x:v>Monthly assistant session volume</x:v>
      </x:c>
      <x:c r="B17" s="22" t="str">
        <x:v>UNKNOWN</x:v>
      </x:c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8" t="str">
        <x:v>Monthly total including assistant wages</x:v>
      </x:c>
      <x:c r="B18" s="22" t="str">
        <x:f>IF(B17="UNKNOWN","UNKNOWN",B15+B16*B17)</x:f>
        <x:v>UNKNOWN</x:v>
      </x:c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4" hidden="0" customWidth="1"/>
  </x:cols>
  <x:sheetData>
    <x:row r="1">
      <x:c r="A1" s="15" t="str">
        <x:v>Break-even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7" t="str">
        <x:v>Seats per month needed for current fee mix to cover monthly fixed costs.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8" t="str">
        <x:v>Metric</x:v>
      </x:c>
      <x:c r="B4" s="18" t="str">
        <x:v>Value</x:v>
      </x:c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Monthly fixed costs</x:v>
      </x:c>
      <x:c r="B5" s="22" t="n">
        <x:f>'Fixed costs'!B15</x:f>
        <x:v>41490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Average current fee across courses</x:v>
      </x:c>
      <x:c r="B6" s="22" t="n">
        <x:f>AVERAGE('Fee check'!C5:C24)</x:f>
        <x:v>680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Average direct cost / seat @ 10</x:v>
      </x:c>
      <x:c r="B7" s="22" t="n">
        <x:f>AVERAGE('Unit cost'!L5:L24)</x:f>
        <x:v>176.67949999999996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Base contribution / seat</x:v>
      </x:c>
      <x:c r="B8" s="22" t="n">
        <x:f>B6-B7</x:f>
        <x:v>503.32050000000004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str">
        <x:v>Base break-even seats / month</x:v>
      </x:c>
      <x:c r="B9" s="16" t="n">
        <x:f>IF(OR(B8="UNKNOWN",B8&lt;=0),"UNKNOWN",ROUNDUP(B5/B8,0))</x:f>
        <x:v>83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 t="str">
        <x:v>Discounted learner share</x:v>
      </x:c>
      <x:c r="B10" s="23" t="n">
        <x:v>0.2</x:v>
      </x:c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 t="str">
        <x:v>Early-bird share of discounted learners</x:v>
      </x:c>
      <x:c r="B11" s="24" t="str">
        <x:v>UNKNOWN</x:v>
      </x:c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 t="str">
        <x:v>Discount-adjusted break-even seats / month</x:v>
      </x:c>
      <x:c r="B12" s="25" t="str">
        <x:f>IF(B11="UNKNOWN","UNKNOWN",ROUNDUP(B5/(B8*(1-B10*(B11*10%+(1-B11)*5%))),0))</x:f>
        <x:v>UNKNOWN</x:v>
      </x:c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 t="str">
        <x:v>Interpretation</x:v>
      </x:c>
      <x:c r="B14" s="16" t="str">
        <x:v>The base result uses current fees and direct cost at 10 learners.</x:v>
      </x:c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 t="str">
        <x:v>Discount caveat</x:v>
      </x:c>
      <x:c r="B15" s="16" t="str">
        <x:v>The discount-adjusted result stays UNKNOWN until the mix of early-bird versus bring-a-friend users is supplied.</x:v>
      </x:c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 t="str">
        <x:v>Source</x:v>
      </x:c>
      <x:c r="B16" s="16" t="str">
        <x:v>pricing-rules.md; fixed-costs.csv; courses.json; recipe-costs.csv</x:v>
      </x:c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>
      <x:c r="A1" s="15" t="str">
        <x:v>Fee check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7" t="str">
        <x:v>Current course fee compared with the 45% gross-margin pricing rule.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8" t="str">
        <x:v>Code</x:v>
      </x:c>
      <x:c r="B4" s="18" t="str">
        <x:v>Course</x:v>
      </x:c>
      <x:c r="C4" s="18" t="str">
        <x:v>Current fee</x:v>
      </x:c>
      <x:c r="D4" s="18" t="str">
        <x:v>Direct cost / seat @ 10</x:v>
      </x:c>
      <x:c r="E4" s="18" t="str">
        <x:v>Target fee</x:v>
      </x:c>
      <x:c r="F4" s="18" t="str">
        <x:v>Fee gap</x:v>
      </x:c>
      <x:c r="G4" s="18" t="str">
        <x:v>Status</x:v>
      </x:c>
      <x:c r="H4" s="18" t="str">
        <x:v>Rule</x:v>
      </x:c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f>'Unit cost'!A5</x:f>
        <x:v>BAK-101</x:v>
      </x:c>
      <x:c r="B5" s="16" t="str">
        <x:f>'Unit cost'!B5</x:f>
        <x:v>Artisan Sourdough Bread Baking</x:v>
      </x:c>
      <x:c r="C5" s="22" t="n">
        <x:f>'Unit cost'!D5</x:f>
        <x:v>680</x:v>
      </x:c>
      <x:c r="D5" s="22" t="n">
        <x:f>'Unit cost'!L5</x:f>
        <x:v>166.88</x:v>
      </x:c>
      <x:c r="E5" s="22" t="n">
        <x:f>'Unit cost'!O5</x:f>
        <x:v>303.4181818181818</x:v>
      </x:c>
      <x:c r="F5" s="22" t="n">
        <x:f>IF(OR(C5="UNKNOWN",E5="UNKNOWN"),"UNKNOWN",C5-E5)</x:f>
        <x:v>376.5818181818182</x:v>
      </x:c>
      <x:c r="G5" s="16" t="str">
        <x:f>'Unit cost'!P5</x:f>
        <x:v>OK</x:v>
      </x:c>
      <x:c r="H5" s="16" t="str">
        <x:v>fee ≥ direct cost / (1 - 45%)</x:v>
      </x:c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f>'Unit cost'!A6</x:f>
        <x:v>BAK-102</x:v>
      </x:c>
      <x:c r="B6" s="16" t="str">
        <x:f>'Unit cost'!B6</x:f>
        <x:v>French Pastry &amp; Viennoiserie</x:v>
      </x:c>
      <x:c r="C6" s="22" t="n">
        <x:f>'Unit cost'!D6</x:f>
        <x:v>1480</x:v>
      </x:c>
      <x:c r="D6" s="22" t="n">
        <x:f>'Unit cost'!L6</x:f>
        <x:v>317.85</x:v>
      </x:c>
      <x:c r="E6" s="22" t="n">
        <x:f>'Unit cost'!O6</x:f>
        <x:v>577.9090909090909</x:v>
      </x:c>
      <x:c r="F6" s="22" t="n">
        <x:f>IF(OR(C6="UNKNOWN",E6="UNKNOWN"),"UNKNOWN",C6-E6)</x:f>
        <x:v>902.0909090909091</x:v>
      </x:c>
      <x:c r="G6" s="16" t="str">
        <x:f>'Unit cost'!P6</x:f>
        <x:v>OK</x:v>
      </x:c>
      <x:c r="H6" s="16" t="str">
        <x:v>fee ≥ direct cost / (1 - 45%)</x:v>
      </x:c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f>'Unit cost'!A7</x:f>
        <x:v>BAK-103</x:v>
      </x:c>
      <x:c r="B7" s="16" t="str">
        <x:f>'Unit cost'!B7</x:f>
        <x:v>Wedding Cake Design &amp; Decoration</x:v>
      </x:c>
      <x:c r="C7" s="22" t="n">
        <x:f>'Unit cost'!D7</x:f>
        <x:v>1280</x:v>
      </x:c>
      <x:c r="D7" s="22" t="n">
        <x:f>'Unit cost'!L7</x:f>
        <x:v>260.72</x:v>
      </x:c>
      <x:c r="E7" s="22" t="n">
        <x:f>'Unit cost'!O7</x:f>
        <x:v>474.03636363636366</x:v>
      </x:c>
      <x:c r="F7" s="22" t="n">
        <x:f>IF(OR(C7="UNKNOWN",E7="UNKNOWN"),"UNKNOWN",C7-E7)</x:f>
        <x:v>805.9636363636364</x:v>
      </x:c>
      <x:c r="G7" s="16" t="str">
        <x:f>'Unit cost'!P7</x:f>
        <x:v>OK</x:v>
      </x:c>
      <x:c r="H7" s="16" t="str">
        <x:v>fee ≥ direct cost / (1 - 45%)</x:v>
      </x:c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f>'Unit cost'!A8</x:f>
        <x:v>BAK-104</x:v>
      </x:c>
      <x:c r="B8" s="16" t="str">
        <x:f>'Unit cost'!B8</x:f>
        <x:v>Macaron Masterclass</x:v>
      </x:c>
      <x:c r="C8" s="22" t="n">
        <x:f>'Unit cost'!D8</x:f>
        <x:v>420</x:v>
      </x:c>
      <x:c r="D8" s="22" t="n">
        <x:f>'Unit cost'!L8</x:f>
        <x:v>85.88</x:v>
      </x:c>
      <x:c r="E8" s="22" t="n">
        <x:f>'Unit cost'!O8</x:f>
        <x:v>156.14545454545453</x:v>
      </x:c>
      <x:c r="F8" s="22" t="n">
        <x:f>IF(OR(C8="UNKNOWN",E8="UNKNOWN"),"UNKNOWN",C8-E8)</x:f>
        <x:v>263.8545454545455</x:v>
      </x:c>
      <x:c r="G8" s="16" t="str">
        <x:f>'Unit cost'!P8</x:f>
        <x:v>OK</x:v>
      </x:c>
      <x:c r="H8" s="16" t="str">
        <x:v>fee ≥ direct cost / (1 - 45%)</x:v>
      </x:c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str">
        <x:f>'Unit cost'!A9</x:f>
        <x:v>BAK-105</x:v>
      </x:c>
      <x:c r="B9" s="16" t="str">
        <x:f>'Unit cost'!B9</x:f>
        <x:v>Chocolate &amp; Confectionery Making</x:v>
      </x:c>
      <x:c r="C9" s="22" t="n">
        <x:f>'Unit cost'!D9</x:f>
        <x:v>760</x:v>
      </x:c>
      <x:c r="D9" s="22" t="n">
        <x:f>'Unit cost'!L9</x:f>
        <x:v>249.32</x:v>
      </x:c>
      <x:c r="E9" s="22" t="n">
        <x:f>'Unit cost'!O9</x:f>
        <x:v>453.30909090909086</x:v>
      </x:c>
      <x:c r="F9" s="22" t="n">
        <x:f>IF(OR(C9="UNKNOWN",E9="UNKNOWN"),"UNKNOWN",C9-E9)</x:f>
        <x:v>306.69090909090914</x:v>
      </x:c>
      <x:c r="G9" s="16" t="str">
        <x:f>'Unit cost'!P9</x:f>
        <x:v>OK</x:v>
      </x:c>
      <x:c r="H9" s="16" t="str">
        <x:v>fee ≥ direct cost / (1 - 45%)</x:v>
      </x:c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 t="str">
        <x:f>'Unit cost'!A10</x:f>
        <x:v>BAK-106</x:v>
      </x:c>
      <x:c r="B10" s="16" t="str">
        <x:f>'Unit cost'!B10</x:f>
        <x:v>Cupcake &amp; Cake Pops Workshop</x:v>
      </x:c>
      <x:c r="C10" s="22" t="n">
        <x:f>'Unit cost'!D10</x:f>
        <x:v>220</x:v>
      </x:c>
      <x:c r="D10" s="22" t="n">
        <x:f>'Unit cost'!L10</x:f>
        <x:v>51.91</x:v>
      </x:c>
      <x:c r="E10" s="22" t="n">
        <x:f>'Unit cost'!O10</x:f>
        <x:v>94.38181818181816</x:v>
      </x:c>
      <x:c r="F10" s="22" t="n">
        <x:f>IF(OR(C10="UNKNOWN",E10="UNKNOWN"),"UNKNOWN",C10-E10)</x:f>
        <x:v>125.61818181818184</x:v>
      </x:c>
      <x:c r="G10" s="16" t="str">
        <x:f>'Unit cost'!P10</x:f>
        <x:v>OK</x:v>
      </x:c>
      <x:c r="H10" s="16" t="str">
        <x:v>fee ≥ direct cost / (1 - 45%)</x:v>
      </x:c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 t="str">
        <x:f>'Unit cost'!A11</x:f>
        <x:v>BAK-107</x:v>
      </x:c>
      <x:c r="B11" s="16" t="str">
        <x:f>'Unit cost'!B11</x:f>
        <x:v>Bread Making Fundamentals</x:v>
      </x:c>
      <x:c r="C11" s="22" t="n">
        <x:f>'Unit cost'!D11</x:f>
        <x:v>480</x:v>
      </x:c>
      <x:c r="D11" s="22" t="n">
        <x:f>'Unit cost'!L11</x:f>
        <x:v>122.93</x:v>
      </x:c>
      <x:c r="E11" s="22" t="n">
        <x:f>'Unit cost'!O11</x:f>
        <x:v>223.5090909090909</x:v>
      </x:c>
      <x:c r="F11" s="22" t="n">
        <x:f>IF(OR(C11="UNKNOWN",E11="UNKNOWN"),"UNKNOWN",C11-E11)</x:f>
        <x:v>256.4909090909091</x:v>
      </x:c>
      <x:c r="G11" s="16" t="str">
        <x:f>'Unit cost'!P11</x:f>
        <x:v>OK</x:v>
      </x:c>
      <x:c r="H11" s="16" t="str">
        <x:v>fee ≥ direct cost / (1 - 45%)</x:v>
      </x:c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 t="str">
        <x:f>'Unit cost'!A12</x:f>
        <x:v>BAK-108</x:v>
      </x:c>
      <x:c r="B12" s="16" t="str">
        <x:f>'Unit cost'!B12</x:f>
        <x:v>Cookie &amp; Biscuit Baking</x:v>
      </x:c>
      <x:c r="C12" s="22" t="n">
        <x:f>'Unit cost'!D12</x:f>
        <x:v>180</x:v>
      </x:c>
      <x:c r="D12" s="22" t="n">
        <x:f>'Unit cost'!L12</x:f>
        <x:v>43.97</x:v>
      </x:c>
      <x:c r="E12" s="22" t="n">
        <x:f>'Unit cost'!O12</x:f>
        <x:v>79.94545454545454</x:v>
      </x:c>
      <x:c r="F12" s="22" t="n">
        <x:f>IF(OR(C12="UNKNOWN",E12="UNKNOWN"),"UNKNOWN",C12-E12)</x:f>
        <x:v>100.05454545454546</x:v>
      </x:c>
      <x:c r="G12" s="16" t="str">
        <x:f>'Unit cost'!P12</x:f>
        <x:v>OK</x:v>
      </x:c>
      <x:c r="H12" s="16" t="str">
        <x:v>fee ≥ direct cost / (1 - 45%)</x:v>
      </x:c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 t="str">
        <x:f>'Unit cost'!A13</x:f>
        <x:v>BAK-109</x:v>
      </x:c>
      <x:c r="B13" s="16" t="str">
        <x:f>'Unit cost'!B13</x:f>
        <x:v>Pie &amp; Tart Specialist</x:v>
      </x:c>
      <x:c r="C13" s="22" t="n">
        <x:f>'Unit cost'!D13</x:f>
        <x:v>560</x:v>
      </x:c>
      <x:c r="D13" s="22" t="n">
        <x:f>'Unit cost'!L13</x:f>
        <x:v>126.83</x:v>
      </x:c>
      <x:c r="E13" s="22" t="n">
        <x:f>'Unit cost'!O13</x:f>
        <x:v>230.59999999999997</x:v>
      </x:c>
      <x:c r="F13" s="22" t="n">
        <x:f>IF(OR(C13="UNKNOWN",E13="UNKNOWN"),"UNKNOWN",C13-E13)</x:f>
        <x:v>329.40000000000003</x:v>
      </x:c>
      <x:c r="G13" s="16" t="str">
        <x:f>'Unit cost'!P13</x:f>
        <x:v>OK</x:v>
      </x:c>
      <x:c r="H13" s="16" t="str">
        <x:v>fee ≥ direct cost / (1 - 45%)</x:v>
      </x:c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 t="str">
        <x:f>'Unit cost'!A14</x:f>
        <x:v>BAK-110</x:v>
      </x:c>
      <x:c r="B14" s="16" t="str">
        <x:f>'Unit cost'!B14</x:f>
        <x:v>Korean &amp; Asian Bakery</x:v>
      </x:c>
      <x:c r="C14" s="22" t="n">
        <x:f>'Unit cost'!D14</x:f>
        <x:v>720</x:v>
      </x:c>
      <x:c r="D14" s="22" t="n">
        <x:f>'Unit cost'!L14</x:f>
        <x:v>162.69</x:v>
      </x:c>
      <x:c r="E14" s="22" t="n">
        <x:f>'Unit cost'!O14</x:f>
        <x:v>295.79999999999995</x:v>
      </x:c>
      <x:c r="F14" s="22" t="n">
        <x:f>IF(OR(C14="UNKNOWN",E14="UNKNOWN"),"UNKNOWN",C14-E14)</x:f>
        <x:v>424.20000000000005</x:v>
      </x:c>
      <x:c r="G14" s="16" t="str">
        <x:f>'Unit cost'!P14</x:f>
        <x:v>OK</x:v>
      </x:c>
      <x:c r="H14" s="16" t="str">
        <x:v>fee ≥ direct cost / (1 - 45%)</x:v>
      </x:c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 t="str">
        <x:f>'Unit cost'!A15</x:f>
        <x:v>CUL-201</x:v>
      </x:c>
      <x:c r="B15" s="16" t="str">
        <x:f>'Unit cost'!B15</x:f>
        <x:v>Italian Cuisine Mastery</x:v>
      </x:c>
      <x:c r="C15" s="22" t="n">
        <x:f>'Unit cost'!D15</x:f>
        <x:v>1180</x:v>
      </x:c>
      <x:c r="D15" s="22" t="n">
        <x:f>'Unit cost'!L15</x:f>
        <x:v>347.88</x:v>
      </x:c>
      <x:c r="E15" s="22" t="n">
        <x:f>'Unit cost'!O15</x:f>
        <x:v>632.5090909090909</x:v>
      </x:c>
      <x:c r="F15" s="22" t="n">
        <x:f>IF(OR(C15="UNKNOWN",E15="UNKNOWN"),"UNKNOWN",C15-E15)</x:f>
        <x:v>547.4909090909091</x:v>
      </x:c>
      <x:c r="G15" s="16" t="str">
        <x:f>'Unit cost'!P15</x:f>
        <x:v>OK</x:v>
      </x:c>
      <x:c r="H15" s="16" t="str">
        <x:v>fee ≥ direct cost / (1 - 45%)</x:v>
      </x:c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 t="str">
        <x:f>'Unit cost'!A16</x:f>
        <x:v>CUL-202</x:v>
      </x:c>
      <x:c r="B16" s="16" t="str">
        <x:f>'Unit cost'!B16</x:f>
        <x:v>Thai Street Food Cooking</x:v>
      </x:c>
      <x:c r="C16" s="22" t="n">
        <x:f>'Unit cost'!D16</x:f>
        <x:v>540</x:v>
      </x:c>
      <x:c r="D16" s="22" t="n">
        <x:f>'Unit cost'!L16</x:f>
        <x:v>146.48</x:v>
      </x:c>
      <x:c r="E16" s="22" t="n">
        <x:f>'Unit cost'!O16</x:f>
        <x:v>266.3272727272727</x:v>
      </x:c>
      <x:c r="F16" s="22" t="n">
        <x:f>IF(OR(C16="UNKNOWN",E16="UNKNOWN"),"UNKNOWN",C16-E16)</x:f>
        <x:v>273.6727272727273</x:v>
      </x:c>
      <x:c r="G16" s="16" t="str">
        <x:f>'Unit cost'!P16</x:f>
        <x:v>OK</x:v>
      </x:c>
      <x:c r="H16" s="16" t="str">
        <x:v>fee ≥ direct cost / (1 - 45%)</x:v>
      </x:c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 t="str">
        <x:f>'Unit cost'!A17</x:f>
        <x:v>CUL-203</x:v>
      </x:c>
      <x:c r="B17" s="16" t="str">
        <x:f>'Unit cost'!B17</x:f>
        <x:v>Japanese Sushi &amp; Sashimi</x:v>
      </x:c>
      <x:c r="C17" s="22" t="n">
        <x:f>'Unit cost'!D17</x:f>
        <x:v>980</x:v>
      </x:c>
      <x:c r="D17" s="22" t="n">
        <x:f>'Unit cost'!L17</x:f>
        <x:v>275.53</x:v>
      </x:c>
      <x:c r="E17" s="22" t="n">
        <x:f>'Unit cost'!O17</x:f>
        <x:v>500.9636363636363</x:v>
      </x:c>
      <x:c r="F17" s="22" t="n">
        <x:f>IF(OR(C17="UNKNOWN",E17="UNKNOWN"),"UNKNOWN",C17-E17)</x:f>
        <x:v>479.0363636363637</x:v>
      </x:c>
      <x:c r="G17" s="16" t="str">
        <x:f>'Unit cost'!P17</x:f>
        <x:v>OK</x:v>
      </x:c>
      <x:c r="H17" s="16" t="str">
        <x:v>fee ≥ direct cost / (1 - 45%)</x:v>
      </x:c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 t="str">
        <x:f>'Unit cost'!A18</x:f>
        <x:v>CUL-204</x:v>
      </x:c>
      <x:c r="B18" s="16" t="str">
        <x:f>'Unit cost'!B18</x:f>
        <x:v>French Culinary Foundations</x:v>
      </x:c>
      <x:c r="C18" s="22" t="n">
        <x:f>'Unit cost'!D18</x:f>
        <x:v>1580</x:v>
      </x:c>
      <x:c r="D18" s="22" t="n">
        <x:f>'Unit cost'!L18</x:f>
        <x:v>439.43</x:v>
      </x:c>
      <x:c r="E18" s="22" t="n">
        <x:f>'Unit cost'!O18</x:f>
        <x:v>798.9636363636363</x:v>
      </x:c>
      <x:c r="F18" s="22" t="n">
        <x:f>IF(OR(C18="UNKNOWN",E18="UNKNOWN"),"UNKNOWN",C18-E18)</x:f>
        <x:v>781.0363636363637</x:v>
      </x:c>
      <x:c r="G18" s="16" t="str">
        <x:f>'Unit cost'!P18</x:f>
        <x:v>OK</x:v>
      </x:c>
      <x:c r="H18" s="16" t="str">
        <x:v>fee ≥ direct cost / (1 - 45%)</x:v>
      </x:c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 t="str">
        <x:f>'Unit cost'!A19</x:f>
        <x:v>CUL-205</x:v>
      </x:c>
      <x:c r="B19" s="16" t="str">
        <x:f>'Unit cost'!B19</x:f>
        <x:v>Chinese Wok Cooking</x:v>
      </x:c>
      <x:c r="C19" s="22" t="n">
        <x:f>'Unit cost'!D19</x:f>
        <x:v>520</x:v>
      </x:c>
      <x:c r="D19" s="22" t="n">
        <x:f>'Unit cost'!L19</x:f>
        <x:v>166.07</x:v>
      </x:c>
      <x:c r="E19" s="22" t="n">
        <x:f>'Unit cost'!O19</x:f>
        <x:v>301.9454545454545</x:v>
      </x:c>
      <x:c r="F19" s="22" t="n">
        <x:f>IF(OR(C19="UNKNOWN",E19="UNKNOWN"),"UNKNOWN",C19-E19)</x:f>
        <x:v>218.05454545454552</x:v>
      </x:c>
      <x:c r="G19" s="16" t="str">
        <x:f>'Unit cost'!P19</x:f>
        <x:v>OK</x:v>
      </x:c>
      <x:c r="H19" s="16" t="str">
        <x:v>fee ≥ direct cost / (1 - 45%)</x:v>
      </x:c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6" t="str">
        <x:f>'Unit cost'!A20</x:f>
        <x:v>CUL-206</x:v>
      </x:c>
      <x:c r="B20" s="16" t="str">
        <x:f>'Unit cost'!B20</x:f>
        <x:v>Indian Curry &amp; Spices</x:v>
      </x:c>
      <x:c r="C20" s="22" t="n">
        <x:f>'Unit cost'!D20</x:f>
        <x:v>500</x:v>
      </x:c>
      <x:c r="D20" s="22" t="n">
        <x:f>'Unit cost'!L20</x:f>
        <x:v>152.39</x:v>
      </x:c>
      <x:c r="E20" s="22" t="n">
        <x:f>'Unit cost'!O20</x:f>
        <x:v>277.0727272727272</x:v>
      </x:c>
      <x:c r="F20" s="22" t="n">
        <x:f>IF(OR(C20="UNKNOWN",E20="UNKNOWN"),"UNKNOWN",C20-E20)</x:f>
        <x:v>222.9272727272728</x:v>
      </x:c>
      <x:c r="G20" s="16" t="str">
        <x:f>'Unit cost'!P20</x:f>
        <x:v>OK</x:v>
      </x:c>
      <x:c r="H20" s="16" t="str">
        <x:v>fee ≥ direct cost / (1 - 45%)</x:v>
      </x:c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 t="str">
        <x:f>'Unit cost'!A21</x:f>
        <x:v>CUL-207</x:v>
      </x:c>
      <x:c r="B21" s="16" t="str">
        <x:f>'Unit cost'!B21</x:f>
        <x:v>Healthy Meal Prep &amp; Nutrition</x:v>
      </x:c>
      <x:c r="C21" s="22" t="n">
        <x:f>'Unit cost'!D21</x:f>
        <x:v>360</x:v>
      </x:c>
      <x:c r="D21" s="22" t="n">
        <x:f>'Unit cost'!L21</x:f>
        <x:v>113.78999999999999</x:v>
      </x:c>
      <x:c r="E21" s="22" t="n">
        <x:f>'Unit cost'!O21</x:f>
        <x:v>206.89090909090905</x:v>
      </x:c>
      <x:c r="F21" s="22" t="n">
        <x:f>IF(OR(C21="UNKNOWN",E21="UNKNOWN"),"UNKNOWN",C21-E21)</x:f>
        <x:v>153.10909090909095</x:v>
      </x:c>
      <x:c r="G21" s="16" t="str">
        <x:f>'Unit cost'!P21</x:f>
        <x:v>OK</x:v>
      </x:c>
      <x:c r="H21" s="16" t="str">
        <x:v>fee ≥ direct cost / (1 - 45%)</x:v>
      </x:c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 t="str">
        <x:f>'Unit cost'!A22</x:f>
        <x:v>CUL-208</x:v>
      </x:c>
      <x:c r="B22" s="16" t="str">
        <x:f>'Unit cost'!B22</x:f>
        <x:v>Vegetarian &amp; Vegan Cuisine</x:v>
      </x:c>
      <x:c r="C22" s="22" t="n">
        <x:f>'Unit cost'!D22</x:f>
        <x:v>540</x:v>
      </x:c>
      <x:c r="D22" s="22" t="n">
        <x:f>'Unit cost'!L22</x:f>
        <x:v>141.14</x:v>
      </x:c>
      <x:c r="E22" s="22" t="n">
        <x:f>'Unit cost'!O22</x:f>
        <x:v>256.61818181818177</x:v>
      </x:c>
      <x:c r="F22" s="22" t="n">
        <x:f>IF(OR(C22="UNKNOWN",E22="UNKNOWN"),"UNKNOWN",C22-E22)</x:f>
        <x:v>283.38181818181823</x:v>
      </x:c>
      <x:c r="G22" s="16" t="str">
        <x:f>'Unit cost'!P22</x:f>
        <x:v>OK</x:v>
      </x:c>
      <x:c r="H22" s="16" t="str">
        <x:v>fee ≥ direct cost / (1 - 45%)</x:v>
      </x:c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 t="str">
        <x:f>'Unit cost'!A23</x:f>
        <x:v>CUL-209</x:v>
      </x:c>
      <x:c r="B23" s="16" t="str">
        <x:f>'Unit cost'!B23</x:f>
        <x:v>Grilling &amp; BBQ Mastery</x:v>
      </x:c>
      <x:c r="C23" s="22" t="n">
        <x:f>'Unit cost'!D23</x:f>
        <x:v>460</x:v>
      </x:c>
      <x:c r="D23" s="22" t="n">
        <x:f>'Unit cost'!L23</x:f>
        <x:v>109.72</x:v>
      </x:c>
      <x:c r="E23" s="22" t="n">
        <x:f>'Unit cost'!O23</x:f>
        <x:v>199.49090909090907</x:v>
      </x:c>
      <x:c r="F23" s="22" t="n">
        <x:f>IF(OR(C23="UNKNOWN",E23="UNKNOWN"),"UNKNOWN",C23-E23)</x:f>
        <x:v>260.5090909090909</x:v>
      </x:c>
      <x:c r="G23" s="16" t="str">
        <x:f>'Unit cost'!P23</x:f>
        <x:v>OK</x:v>
      </x:c>
      <x:c r="H23" s="16" t="str">
        <x:v>fee ≥ direct cost / (1 - 45%)</x:v>
      </x:c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 t="str">
        <x:f>'Unit cost'!A24</x:f>
        <x:v>CUL-210</x:v>
      </x:c>
      <x:c r="B24" s="16" t="str">
        <x:f>'Unit cost'!B24</x:f>
        <x:v>Knife Skills &amp; Kitchen Essentials</x:v>
      </x:c>
      <x:c r="C24" s="22" t="n">
        <x:f>'Unit cost'!D24</x:f>
        <x:v>160</x:v>
      </x:c>
      <x:c r="D24" s="22" t="n">
        <x:f>'Unit cost'!L24</x:f>
        <x:v>52.18</x:v>
      </x:c>
      <x:c r="E24" s="22" t="n">
        <x:f>'Unit cost'!O24</x:f>
        <x:v>94.87272727272726</x:v>
      </x:c>
      <x:c r="F24" s="22" t="n">
        <x:f>IF(OR(C24="UNKNOWN",E24="UNKNOWN"),"UNKNOWN",C24-E24)</x:f>
        <x:v>65.12727272727274</x:v>
      </x:c>
      <x:c r="G24" s="16" t="str">
        <x:f>'Unit cost'!P24</x:f>
        <x:v>OK</x:v>
      </x:c>
      <x:c r="H24" s="16" t="str">
        <x:v>fee ≥ direct cost / (1 - 45%)</x:v>
      </x:c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conditionalFormatting sqref="G5:G24">
    <x:cfRule type="expression" dxfId="1" priority="1">
      <x:formula>G5="UNDERPRICED"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64" hidden="0" customWidth="1"/>
  </x:cols>
  <x:sheetData>
    <x:row r="1">
      <x:c r="A1" s="15" t="str">
        <x:v>Notes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7" t="str">
        <x:v>Assumptions, source mapping and unresolved inputs used by the workbook.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>
      <x:c r="A4" s="18" t="str">
        <x:v>Assumption / source</x:v>
      </x:c>
      <x:c r="B4" s="18" t="str">
        <x:v>Value</x:v>
      </x:c>
      <x:c r="C4" s="18" t="str">
        <x:v>How it is used</x:v>
      </x:c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>
      <x:c r="A5" s="16" t="str">
        <x:v>Planning class size</x:v>
      </x:c>
      <x:c r="B5" s="16" t="n">
        <x:v>10</x:v>
      </x:c>
      <x:c r="C5" s="16" t="str">
        <x:v>Pricing rule and break-even contribution use direct cost per seat at 10 learners.</x:v>
      </x:c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>
      <x:c r="A6" s="16" t="str">
        <x:v>Maximum class size</x:v>
      </x:c>
      <x:c r="B6" s="16" t="n">
        <x:v>12</x:v>
      </x:c>
      <x:c r="C6" s="16" t="str">
        <x:v>Shown as the 12-learner sensitivity column.</x:v>
      </x:c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>
      <x:c r="A7" s="16" t="str">
        <x:v>Low class size case</x:v>
      </x:c>
      <x:c r="B7" s="16" t="n">
        <x:v>8</x:v>
      </x:c>
      <x:c r="C7" s="16" t="str">
        <x:v>Shown as the 8-learner sensitivity column.</x:v>
      </x:c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>
      <x:c r="A8" s="16" t="str">
        <x:v>Gross margin target</x:v>
      </x:c>
      <x:c r="B8" s="23" t="n">
        <x:v>0.45</x:v>
      </x:c>
      <x:c r="C8" s="16" t="str">
        <x:v>Target fee = direct cost per seat / (1 - 45%).</x:v>
      </x:c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>
      <x:c r="A9" s="16" t="str">
        <x:v>Discounted learner share</x:v>
      </x:c>
      <x:c r="B9" s="23" t="n">
        <x:v>0.2</x:v>
      </x:c>
      <x:c r="C9" s="16" t="str">
        <x:v>20% of learners use one discount, per pricing-rules.md.</x:v>
      </x:c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>
      <x:c r="A10" s="16" t="str">
        <x:v>Early-bird discount</x:v>
      </x:c>
      <x:c r="B10" s="23" t="n">
        <x:v>0.1</x:v>
      </x:c>
      <x:c r="C10" s="16" t="str">
        <x:v>10% discount, per pricing-rules.md.</x:v>
      </x:c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>
      <x:c r="A11" s="16" t="str">
        <x:v>Bring-a-friend discount</x:v>
      </x:c>
      <x:c r="B11" s="23" t="n">
        <x:v>0.05</x:v>
      </x:c>
      <x:c r="C11" s="16" t="str">
        <x:v>5% discount, per pricing-rules.md.</x:v>
      </x:c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>
      <x:c r="A12" s="16" t="str">
        <x:v>Early-bird share of discounted learners</x:v>
      </x:c>
      <x:c r="B12" s="23" t="str">
        <x:v>UNKNOWN</x:v>
      </x:c>
      <x:c r="C12" s="16" t="str">
        <x:v>Not specified; discount-adjusted break-even remains UNKNOWN.</x:v>
      </x:c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>
      <x:c r="A13" s="16" t="str">
        <x:v>Bring-a-friend share of discounted learners</x:v>
      </x:c>
      <x:c r="B13" s="16" t="str">
        <x:v>UNKNOWN</x:v>
      </x:c>
      <x:c r="C13" s="16" t="str">
        <x:v>Not specified; expected discount cannot be derived.</x:v>
      </x:c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>
      <x:c r="A14" s="16" t="str">
        <x:v>Assistant wage</x:v>
      </x:c>
      <x:c r="B14" s="22" t="n">
        <x:v>60</x:v>
      </x:c>
      <x:c r="C14" s="16" t="str">
        <x:v>Per-session wage from fixed-costs.csv; included in course direct cost.</x:v>
      </x:c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>
      <x:c r="A15" s="16" t="str">
        <x:v>Instructor assignment</x:v>
      </x:c>
      <x:c r="B15" s="16" t="str">
        <x:v>Derived</x:v>
      </x:c>
      <x:c r="C15" s="16" t="str">
        <x:v>Course mapped to the instructor whose teaches field contains the course code.</x:v>
      </x:c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>
      <x:c r="A16" s="16" t="str">
        <x:v>Instructor rate</x:v>
      </x:c>
      <x:c r="B16" s="16" t="str">
        <x:v>Derived</x:v>
      </x:c>
      <x:c r="C16" s="16" t="str">
        <x:v>Rate per session from instructors.csv.</x:v>
      </x:c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>
      <x:c r="A17" s="16" t="str">
        <x:v>Monthly assistant session volume</x:v>
      </x:c>
      <x:c r="B17" s="16" t="str">
        <x:v>UNKNOWN</x:v>
      </x:c>
      <x:c r="C17" s="16" t="str">
        <x:v>No monthly session volume provided; not included in fixed-cost total.</x:v>
      </x:c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>
      <x:c r="A18" s="16" t="str">
        <x:v>Current fee mix</x:v>
      </x:c>
      <x:c r="B18" s="16" t="str">
        <x:v>Equal-weight average across 20 listed courses</x:v>
      </x:c>
      <x:c r="C18" s="16" t="str">
        <x:v>Used for the base break-even average fee and average direct cost.</x:v>
      </x:c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>
      <x:c r="A20" s="18" t="str">
        <x:v>Source file</x:v>
      </x:c>
      <x:c r="B20" s="18" t="str">
        <x:v>Drive location</x:v>
      </x:c>
      <x:c r="C20" s="18" t="str">
        <x:v>Fields used</x:v>
      </x:c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>
      <x:c r="A21" s="16" t="str">
        <x:v>courses.json</x:v>
      </x:c>
      <x:c r="B21" s="16" t="str">
        <x:v>Cook &amp; Bake / Finance</x:v>
      </x:c>
      <x:c r="C21" s="16" t="str">
        <x:v>code, title, cat, fee</x:v>
      </x:c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>
      <x:c r="A22" s="16" t="str">
        <x:v>recipe-costs.csv</x:v>
      </x:c>
      <x:c r="B22" s="16" t="str">
        <x:v>Cook &amp; Bake / Finance</x:v>
      </x:c>
      <x:c r="C22" s="16" t="str">
        <x:v>sessions, ingredient cost, consumables</x:v>
      </x:c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>
      <x:c r="A23" s="16" t="str">
        <x:v>instructors.csv</x:v>
      </x:c>
      <x:c r="B23" s="16" t="str">
        <x:v>Cook &amp; Bake / Finance</x:v>
      </x:c>
      <x:c r="C23" s="16" t="str">
        <x:v>teaches, rate per session</x:v>
      </x:c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>
      <x:c r="A24" s="16" t="str">
        <x:v>fixed-costs.csv / pricing-rules.md</x:v>
      </x:c>
      <x:c r="B24" s="16" t="str">
        <x:v>Cook &amp; Bake / Finance</x:v>
      </x:c>
      <x:c r="C24" s="16" t="str">
        <x:v>fixed cost amounts, assistant wage, pricing formula</x:v>
      </x:c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</x:sheetData>
  <x:pageMargins left="0.7" right="0.7" top="0.75" bottom="0.75" header="0.3" footer="0.3"/>
</x:worksheet>
</file>